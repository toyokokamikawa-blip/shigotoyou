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6430"/>
  </bookViews>
  <sheets>
    <sheet name="契約書 複数担当(鈴木)" sheetId="1" r:id="rId1"/>
  </sheets>
  <externalReferences>
    <externalReference r:id="rId2"/>
  </externalReferences>
  <definedNames>
    <definedName name="_xleta.TODAY" hidden="1">#NAME?</definedName>
    <definedName name="_xlnm.Print_Area" localSheetId="0">'契約書 複数担当(鈴木)'!$A$1:$BX$38</definedName>
    <definedName name="xxx">#REF!</definedName>
    <definedName name="マイナンバー社員住所なし">#REF!</definedName>
    <definedName name="月">#REF!</definedName>
    <definedName name="月1">#REF!</definedName>
    <definedName name="性別">#REF!</definedName>
    <definedName name="店名">#REF!</definedName>
    <definedName name="日">#REF!</definedName>
    <definedName name="日1">#REF!</definedName>
    <definedName name="年">#REF!</definedName>
    <definedName name="年1">#REF!</definedName>
    <definedName name="年号">#REF!</definedName>
  </definedNames>
  <calcPr calcId="144525"/>
</workbook>
</file>

<file path=xl/sharedStrings.xml><?xml version="1.0" encoding="utf-8"?>
<sst xmlns="http://schemas.openxmlformats.org/spreadsheetml/2006/main" count="84" uniqueCount="62">
  <si>
    <t>パートタイム労働契約書</t>
  </si>
  <si>
    <t>第5条</t>
  </si>
  <si>
    <t>賃金の締切は、毎月10日とし、同月20日に乙の指定する銀行口座</t>
  </si>
  <si>
    <t>に振込む。（支払日が銀行休日に当たる場合はその前日）</t>
  </si>
  <si>
    <t>しみず</t>
  </si>
  <si>
    <t>　ＴＹビルテック株式会社を甲、</t>
  </si>
  <si>
    <t>を乙として、以下記載の</t>
  </si>
  <si>
    <t>第6条</t>
  </si>
  <si>
    <t>契約期間は、</t>
  </si>
  <si>
    <t>より3か月とし、その後の契約</t>
  </si>
  <si>
    <t>労働条件により、パート雇用としての労働契約を締結した。</t>
  </si>
  <si>
    <t>については、自動更新とし、3か月の再契約を締結するものとする。</t>
  </si>
  <si>
    <t>第1条    </t>
  </si>
  <si>
    <t xml:space="preserve"> 乙は、下記の場所において、甲の指示に従い下記の業務を</t>
  </si>
  <si>
    <t>第7条</t>
  </si>
  <si>
    <t>契約解約は、この契約期間の途中においても、乙が下記の一に該当</t>
  </si>
  <si>
    <t>誠実に行う。</t>
  </si>
  <si>
    <t>するときは、甲は、何時でも解約することができる。</t>
  </si>
  <si>
    <t>就業場所</t>
  </si>
  <si>
    <t>①</t>
  </si>
  <si>
    <t>②</t>
  </si>
  <si>
    <t>③</t>
  </si>
  <si>
    <t>① 精神または身体に障害を生じ、業務に堪えられないとき。</t>
  </si>
  <si>
    <t>④</t>
  </si>
  <si>
    <t>⑤</t>
  </si>
  <si>
    <t>⑥</t>
  </si>
  <si>
    <t>② 労働能力が著しく劣り、向上の見込みがないと認めたとき。</t>
  </si>
  <si>
    <t>⑦</t>
  </si>
  <si>
    <t>③ 故意または重大な過失により会社に損害を及ぼしたとき。</t>
  </si>
  <si>
    <t>(変更の範囲)会社が指定する場所</t>
  </si>
  <si>
    <t>④ その他、前項に準ずる理由があるとき。</t>
  </si>
  <si>
    <t>業　　務　　</t>
  </si>
  <si>
    <t>清掃業務　</t>
  </si>
  <si>
    <t>　　　　　　　　　　　　　　　　　　　</t>
  </si>
  <si>
    <t>(変更の範囲)なし</t>
  </si>
  <si>
    <t>雇用管理の改善等に関する事項に係る相談窓口</t>
  </si>
  <si>
    <t>ビルマネジメント部部長　大橋 喜智　045-864-1611</t>
  </si>
  <si>
    <t>第2条　</t>
  </si>
  <si>
    <t>乙の勤務は次の通りとする。</t>
  </si>
  <si>
    <t>原則</t>
  </si>
  <si>
    <t>週</t>
  </si>
  <si>
    <t>日</t>
  </si>
  <si>
    <t xml:space="preserve">①  </t>
  </si>
  <si>
    <t>上記契約の成立を証するため、本書2通を作成し、記名捺印のうえ各1通宛保持</t>
  </si>
  <si>
    <t>する。</t>
  </si>
  <si>
    <t>甲 ：</t>
  </si>
  <si>
    <t>横浜市戸塚区戸塚町４７９０番地３</t>
  </si>
  <si>
    <t>ＴＹビルテック株式会社</t>
  </si>
  <si>
    <t>ただし、上記時間内で作成される月間スケジュールに従って</t>
  </si>
  <si>
    <r>
      <rPr>
        <sz val="14"/>
        <color theme="1"/>
        <rFont val="ＭＳ 明朝"/>
        <charset val="128"/>
      </rPr>
      <t>代表取締役社長</t>
    </r>
    <r>
      <rPr>
        <sz val="20"/>
        <color theme="1"/>
        <rFont val="ＭＳ 明朝"/>
        <charset val="128"/>
      </rPr>
      <t>　飯 島 大 貴</t>
    </r>
  </si>
  <si>
    <t>勤務することとする。休憩時間（1時間）は勤務時間に含めない。</t>
  </si>
  <si>
    <t>また、業務の都合により勤務日数および勤務場所を増やすこともある。</t>
  </si>
  <si>
    <t>乙 ：</t>
  </si>
  <si>
    <t>第3条</t>
  </si>
  <si>
    <t>乙の賃金は、</t>
  </si>
  <si>
    <t>時間給</t>
  </si>
  <si>
    <t>とする。</t>
  </si>
  <si>
    <t>通勤交通費は、甲の認める交通手段により支給する。</t>
  </si>
  <si>
    <t>第4条　</t>
  </si>
  <si>
    <t>賃金より控除するのは、所得税とする。また、雇用保険と社会保険</t>
  </si>
  <si>
    <t>については常態として法令に定められた基準に達したときは、加入</t>
  </si>
  <si>
    <t>の手続きをとる。</t>
  </si>
</sst>
</file>

<file path=xl/styles.xml><?xml version="1.0" encoding="utf-8"?>
<styleSheet xmlns="http://schemas.openxmlformats.org/spreadsheetml/2006/main">
  <numFmts count="7">
    <numFmt numFmtId="176" formatCode="_-&quot;\&quot;* #,##0_-\ ;\-&quot;\&quot;* #,##0_-\ ;_-&quot;\&quot;* &quot;-&quot;??_-\ ;_-@_-"/>
    <numFmt numFmtId="43" formatCode="_ * #,##0.00_ ;_ * \-#,##0.00_ ;_ * &quot;-&quot;??_ ;_ @_ "/>
    <numFmt numFmtId="177" formatCode="[$-F400]h:mm:ss\ AM/PM"/>
    <numFmt numFmtId="178" formatCode="#,##0&quot;円&quot;"/>
    <numFmt numFmtId="179" formatCode="_ * #,##0_ ;_ * \-#,##0_ ;_ * &quot;-&quot;??_ ;_ @_ "/>
    <numFmt numFmtId="180" formatCode="_-&quot;\&quot;* #,##0.00_-\ ;\-&quot;\&quot;* #,##0.00_-\ ;_-&quot;\&quot;* &quot;-&quot;??_-\ ;_-@_-"/>
    <numFmt numFmtId="181" formatCode="[$-F800]dddd\,\ mmmm\ dd\,\ yyyy"/>
  </numFmts>
  <fonts count="26">
    <font>
      <sz val="11"/>
      <color theme="1"/>
      <name val="ＭＳ Ｐゴシック"/>
      <charset val="128"/>
      <scheme val="minor"/>
    </font>
    <font>
      <sz val="14"/>
      <color theme="1"/>
      <name val="ＭＳ 明朝"/>
      <charset val="128"/>
    </font>
    <font>
      <sz val="11"/>
      <color theme="1"/>
      <name val="ＭＳ 明朝"/>
      <charset val="128"/>
    </font>
    <font>
      <sz val="16"/>
      <color theme="1"/>
      <name val="ＭＳ 明朝"/>
      <charset val="128"/>
    </font>
    <font>
      <sz val="10"/>
      <color theme="1"/>
      <name val="ＭＳ 明朝"/>
      <charset val="128"/>
    </font>
    <font>
      <sz val="20"/>
      <color theme="1"/>
      <name val="ＭＳ 明朝"/>
      <charset val="128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7" fillId="12" borderId="8" applyNumberFormat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14" borderId="11" applyNumberFormat="0" applyFon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 shrinkToFit="1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32" fontId="1" fillId="0" borderId="0" xfId="0" applyNumberFormat="1" applyFont="1" applyAlignment="1">
      <alignment horizontal="left" vertical="center"/>
    </xf>
    <xf numFmtId="3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5"/>
    </xf>
    <xf numFmtId="3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5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181" fontId="1" fillId="2" borderId="1" xfId="0" applyNumberFormat="1" applyFont="1" applyFill="1" applyBorder="1" applyAlignment="1">
      <alignment horizontal="center" vertical="center"/>
    </xf>
    <xf numFmtId="181" fontId="1" fillId="2" borderId="2" xfId="0" applyNumberFormat="1" applyFont="1" applyFill="1" applyBorder="1" applyAlignment="1">
      <alignment horizontal="center" vertical="center"/>
    </xf>
    <xf numFmtId="181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58</xdr:col>
      <xdr:colOff>137160</xdr:colOff>
      <xdr:row>24</xdr:row>
      <xdr:rowOff>38100</xdr:rowOff>
    </xdr:from>
    <xdr:to>
      <xdr:col>64</xdr:col>
      <xdr:colOff>30480</xdr:colOff>
      <xdr:row>27</xdr:row>
      <xdr:rowOff>208305</xdr:rowOff>
    </xdr:to>
    <xdr:pic>
      <xdr:nvPicPr>
        <xdr:cNvPr id="2" name="図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93780" y="6073140"/>
          <a:ext cx="853440" cy="924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53340</xdr:colOff>
          <xdr:row>3</xdr:row>
          <xdr:rowOff>30480</xdr:rowOff>
        </xdr:from>
        <xdr:to>
          <xdr:col>84</xdr:col>
          <xdr:colOff>91440</xdr:colOff>
          <xdr:row>5</xdr:row>
          <xdr:rowOff>0</xdr:rowOff>
        </xdr:to>
        <xdr:sp macro="[1]!PrintSheet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4150340" y="784860"/>
              <a:ext cx="1158240" cy="472440"/>
            </a:xfrm>
            <a:prstGeom prst="rect">
              <a:avLst/>
            </a:prstGeom>
          </xdr:spPr>
          <xdr:txBody>
            <a:bodyPr vertOverflow="clip" wrap="square" lIns="36576" tIns="45720" rIns="36576" bIns="45720" anchor="ctr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 panose="020B0400000000000000" charset="-128"/>
                  <a:ea typeface="游ゴシック" panose="020B0400000000000000" charset="-128"/>
                </a:rPr>
                <a:t>印　刷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游ゴシック" panose="020B0400000000000000" charset="-128"/>
                <a:ea typeface="游ゴシック" panose="020B0400000000000000" charset="-128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77</xdr:col>
          <xdr:colOff>144780</xdr:colOff>
          <xdr:row>6</xdr:row>
          <xdr:rowOff>190500</xdr:rowOff>
        </xdr:from>
        <xdr:to>
          <xdr:col>84</xdr:col>
          <xdr:colOff>137160</xdr:colOff>
          <xdr:row>8</xdr:row>
          <xdr:rowOff>121920</xdr:rowOff>
        </xdr:to>
        <xdr:sp macro="[1]!SaveAsPDF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4241780" y="1699260"/>
              <a:ext cx="1112520" cy="434340"/>
            </a:xfrm>
            <a:prstGeom prst="rect">
              <a:avLst/>
            </a:prstGeom>
          </xdr:spPr>
          <xdr:txBody>
            <a:bodyPr vertOverflow="clip" wrap="square" lIns="36576" tIns="45720" rIns="36576" bIns="45720" anchor="ctr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 panose="020B0400000000000000" charset="-128"/>
                  <a:ea typeface="游ゴシック" panose="020B0400000000000000" charset="-128"/>
                </a:rPr>
                <a:t>PDF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游ゴシック" panose="020B0400000000000000" charset="-128"/>
                <a:ea typeface="游ゴシック" panose="020B0400000000000000" charset="-128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0201&#12304;&#21360;&#21047;&#29992;&#12305;&#28165;&#25475;&#12497;&#12540;&#12488;_&#38599;&#29992;&#22865;&#32004;&#26360;_&#20869;&#23481;&#30906;&#35469;&#19968;&#35239;-forPDF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清掃パート勤務形態一覧"/>
      <sheetName val="契約書ベース (1)"/>
      <sheetName val="契約書 複数担当(2-6)"/>
      <sheetName val="契約書 夜間清掃(1) "/>
      <sheetName val="契約書 夜間清掃 複数"/>
      <sheetName val="契約書 定期清掃 (1)"/>
      <sheetName val="契約書 夜間_定期"/>
      <sheetName val="契約書 夜間_日中"/>
      <sheetName val="契約書 (押村)"/>
      <sheetName val="契約書 複数担当(清水)"/>
    </sheetNames>
    <definedNames>
      <definedName name="PrintSheet"/>
      <definedName name="SaveAsPDF"/>
    </definedNames>
    <sheetDataSet>
      <sheetData sheetId="0">
        <row r="2">
          <cell r="A2" t="str">
            <v>検索コード</v>
          </cell>
          <cell r="B2" t="str">
            <v>管理コード</v>
          </cell>
          <cell r="C2" t="str">
            <v>付与ランク</v>
          </cell>
          <cell r="D2" t="str">
            <v>氏　名</v>
          </cell>
          <cell r="E2" t="str">
            <v>勤務地（契約書記載名）</v>
          </cell>
        </row>
        <row r="2">
          <cell r="L2" t="str">
            <v>契約日数（週）</v>
          </cell>
          <cell r="M2" t="str">
            <v>各所日数</v>
          </cell>
        </row>
        <row r="2">
          <cell r="T2" t="str">
            <v>契約時間</v>
          </cell>
        </row>
        <row r="2">
          <cell r="AH2" t="str">
            <v>時給1</v>
          </cell>
          <cell r="AI2" t="str">
            <v>時給2</v>
          </cell>
          <cell r="AJ2" t="str">
            <v>時給3</v>
          </cell>
          <cell r="AK2" t="str">
            <v>時給4</v>
          </cell>
          <cell r="AL2" t="str">
            <v>リーダー手当</v>
          </cell>
          <cell r="AM2" t="str">
            <v>税区分</v>
          </cell>
          <cell r="AN2" t="str">
            <v>保険加入</v>
          </cell>
          <cell r="AO2" t="str">
            <v>入社日</v>
          </cell>
          <cell r="AP2" t="str">
            <v>経過年数</v>
          </cell>
          <cell r="AQ2" t="str">
            <v>生年月日</v>
          </cell>
          <cell r="AR2" t="str">
            <v>満年齢</v>
          </cell>
          <cell r="AS2" t="str">
            <v>住所</v>
          </cell>
          <cell r="AT2" t="str">
            <v>住所1</v>
          </cell>
          <cell r="AU2" t="str">
            <v>住所2</v>
          </cell>
          <cell r="AV2" t="str">
            <v>〒</v>
          </cell>
          <cell r="AW2" t="str">
            <v>担当者修正・確認</v>
          </cell>
          <cell r="AX2" t="str">
            <v>上川氏承認</v>
          </cell>
        </row>
        <row r="2">
          <cell r="BB2" t="str">
            <v>リーダー手当項目</v>
          </cell>
          <cell r="BC2" t="str">
            <v>リーダー手当項目</v>
          </cell>
        </row>
        <row r="3">
          <cell r="A3" t="str">
            <v>さとうは</v>
          </cell>
          <cell r="B3" t="str">
            <v>ssa-009</v>
          </cell>
          <cell r="C3">
            <v>5</v>
          </cell>
          <cell r="D3" t="str">
            <v>佐藤　はる美</v>
          </cell>
          <cell r="E3" t="str">
            <v>サクラス戸塚</v>
          </cell>
          <cell r="F3" t="str">
            <v>コーラルファーム</v>
          </cell>
          <cell r="G3" t="str">
            <v>ワタナベビル</v>
          </cell>
        </row>
        <row r="3">
          <cell r="L3">
            <v>6</v>
          </cell>
          <cell r="M3">
            <v>6</v>
          </cell>
          <cell r="N3">
            <v>2</v>
          </cell>
          <cell r="O3">
            <v>1</v>
          </cell>
        </row>
        <row r="3">
          <cell r="T3" t="str">
            <v>12:00～21:00</v>
          </cell>
          <cell r="U3" t="str">
            <v>10:00～11:00</v>
          </cell>
          <cell r="V3" t="str">
            <v>13:00～14:00</v>
          </cell>
        </row>
        <row r="3">
          <cell r="AA3">
            <v>8</v>
          </cell>
          <cell r="AB3">
            <v>1</v>
          </cell>
          <cell r="AC3">
            <v>1</v>
          </cell>
        </row>
        <row r="3">
          <cell r="AH3">
            <v>1225</v>
          </cell>
        </row>
        <row r="3">
          <cell r="AL3">
            <v>3000</v>
          </cell>
          <cell r="AM3" t="str">
            <v>甲</v>
          </cell>
          <cell r="AN3" t="str">
            <v>加入・健保・介護・年金</v>
          </cell>
          <cell r="AO3">
            <v>40141</v>
          </cell>
          <cell r="AP3" t="str">
            <v>16年3ヶ月</v>
          </cell>
          <cell r="AQ3">
            <v>22070</v>
          </cell>
          <cell r="AR3">
            <v>65</v>
          </cell>
          <cell r="AS3" t="str">
            <v>大和市下和田８０６番１ビブレⅡ２０１号</v>
          </cell>
          <cell r="AT3" t="str">
            <v>大和市下和田８０６番１</v>
          </cell>
          <cell r="AU3" t="str">
            <v>ビブレⅡ２０１号</v>
          </cell>
          <cell r="AV3" t="str">
            <v>242-0015</v>
          </cell>
        </row>
        <row r="3">
          <cell r="BA3" t="str">
            <v>　</v>
          </cell>
          <cell r="BB3" t="str">
            <v>尚、リーダー手当として　月</v>
          </cell>
          <cell r="BC3" t="str">
            <v>を加算する。</v>
          </cell>
        </row>
        <row r="4">
          <cell r="A4" t="str">
            <v>たなか</v>
          </cell>
          <cell r="B4" t="str">
            <v>ssa-010</v>
          </cell>
          <cell r="C4">
            <v>5</v>
          </cell>
          <cell r="D4" t="str">
            <v>田中　利恵子</v>
          </cell>
          <cell r="E4" t="str">
            <v>サクラス戸塚</v>
          </cell>
          <cell r="F4" t="str">
            <v>サクラス戸塚</v>
          </cell>
          <cell r="G4" t="str">
            <v>東横本社ビル</v>
          </cell>
          <cell r="H4" t="str">
            <v>春芳茶園</v>
          </cell>
        </row>
        <row r="4">
          <cell r="L4">
            <v>5</v>
          </cell>
          <cell r="M4">
            <v>3</v>
          </cell>
          <cell r="N4">
            <v>2</v>
          </cell>
          <cell r="O4">
            <v>3</v>
          </cell>
          <cell r="P4" t="str">
            <v>隔週1</v>
          </cell>
        </row>
        <row r="4">
          <cell r="T4" t="str">
            <v>7:00～16:00</v>
          </cell>
          <cell r="U4" t="str">
            <v>7:00～14:00</v>
          </cell>
          <cell r="V4" t="str">
            <v>8:00～9:00</v>
          </cell>
          <cell r="W4" t="str">
            <v>14:00～15:00</v>
          </cell>
        </row>
        <row r="4">
          <cell r="AA4">
            <v>8</v>
          </cell>
          <cell r="AB4">
            <v>6</v>
          </cell>
          <cell r="AC4">
            <v>1</v>
          </cell>
          <cell r="AD4">
            <v>1</v>
          </cell>
        </row>
        <row r="4">
          <cell r="AH4">
            <v>1225</v>
          </cell>
        </row>
        <row r="4">
          <cell r="AM4" t="str">
            <v>甲</v>
          </cell>
          <cell r="AN4" t="str">
            <v>加入・健保・介護・年金</v>
          </cell>
          <cell r="AO4">
            <v>39338</v>
          </cell>
          <cell r="AP4" t="str">
            <v>18年5ヶ月</v>
          </cell>
          <cell r="AQ4">
            <v>22930</v>
          </cell>
          <cell r="AR4">
            <v>63</v>
          </cell>
          <cell r="AS4" t="str">
            <v>横浜市泉区中田西一丁目６番２８－１０２号</v>
          </cell>
          <cell r="AT4" t="str">
            <v>横浜市泉区</v>
          </cell>
          <cell r="AU4" t="str">
            <v>中田西一丁目６番２８－１０２号</v>
          </cell>
          <cell r="AV4" t="str">
            <v>245-0015</v>
          </cell>
        </row>
        <row r="5">
          <cell r="A5" t="str">
            <v>ふくだえ</v>
          </cell>
          <cell r="B5" t="str">
            <v>ssa-002</v>
          </cell>
          <cell r="C5">
            <v>4</v>
          </cell>
          <cell r="D5" t="str">
            <v>福田　悦子</v>
          </cell>
          <cell r="E5" t="str">
            <v>サクラス戸塚</v>
          </cell>
          <cell r="F5" t="str">
            <v>サクラス戸塚</v>
          </cell>
          <cell r="G5" t="str">
            <v>サクラス戸塚</v>
          </cell>
          <cell r="H5" t="str">
            <v>東横フェスタ3</v>
          </cell>
          <cell r="I5" t="str">
            <v>東横フェスタ5</v>
          </cell>
          <cell r="J5" t="str">
            <v>ヘイワビル</v>
          </cell>
        </row>
        <row r="5">
          <cell r="L5">
            <v>6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2</v>
          </cell>
          <cell r="R5">
            <v>1</v>
          </cell>
        </row>
        <row r="5">
          <cell r="T5" t="str">
            <v>7:00～14:00</v>
          </cell>
          <cell r="U5" t="str">
            <v>7:00～16:00</v>
          </cell>
          <cell r="V5" t="str">
            <v>12:00～18:00</v>
          </cell>
          <cell r="W5" t="str">
            <v>12:00～15:00</v>
          </cell>
          <cell r="X5" t="str">
            <v>12:00～15:00</v>
          </cell>
          <cell r="Y5" t="str">
            <v>14:30～15:30</v>
          </cell>
        </row>
        <row r="5">
          <cell r="AA5">
            <v>6</v>
          </cell>
          <cell r="AB5">
            <v>8</v>
          </cell>
          <cell r="AC5">
            <v>3</v>
          </cell>
          <cell r="AD5">
            <v>3</v>
          </cell>
          <cell r="AE5">
            <v>1</v>
          </cell>
        </row>
        <row r="5">
          <cell r="AH5">
            <v>1225</v>
          </cell>
        </row>
        <row r="5">
          <cell r="AM5" t="str">
            <v>乙</v>
          </cell>
        </row>
        <row r="5">
          <cell r="AO5">
            <v>40080</v>
          </cell>
          <cell r="AP5" t="str">
            <v>16年5ヶ月</v>
          </cell>
          <cell r="AQ5">
            <v>19641</v>
          </cell>
          <cell r="AR5">
            <v>72</v>
          </cell>
          <cell r="AS5" t="str">
            <v>横浜市戸塚区戸塚町４５３６番地１２戸塚富士見丘ハイツＤ棟５０１号</v>
          </cell>
          <cell r="AT5" t="str">
            <v>横浜市戸塚区</v>
          </cell>
          <cell r="AU5" t="str">
            <v>戸塚町４５３６番地１２戸塚富士見丘ハイツＤ棟５０１号</v>
          </cell>
          <cell r="AV5" t="str">
            <v>244-0003</v>
          </cell>
        </row>
        <row r="6">
          <cell r="A6" t="str">
            <v>みやい</v>
          </cell>
          <cell r="B6" t="str">
            <v>ssa-004</v>
          </cell>
          <cell r="C6">
            <v>5</v>
          </cell>
          <cell r="D6" t="str">
            <v>宮井　順子</v>
          </cell>
          <cell r="E6" t="str">
            <v>サクラス戸塚</v>
          </cell>
        </row>
        <row r="6">
          <cell r="L6">
            <v>5</v>
          </cell>
          <cell r="M6">
            <v>5</v>
          </cell>
        </row>
        <row r="6">
          <cell r="T6" t="str">
            <v>7:00～10:00</v>
          </cell>
        </row>
        <row r="6">
          <cell r="AA6">
            <v>3</v>
          </cell>
        </row>
        <row r="6">
          <cell r="AH6">
            <v>1225</v>
          </cell>
        </row>
        <row r="6">
          <cell r="AM6" t="str">
            <v>甲</v>
          </cell>
        </row>
        <row r="6">
          <cell r="AO6">
            <v>40956</v>
          </cell>
          <cell r="AP6" t="str">
            <v>14年0ヶ月</v>
          </cell>
          <cell r="AQ6">
            <v>17580</v>
          </cell>
          <cell r="AR6">
            <v>78</v>
          </cell>
          <cell r="AS6" t="str">
            <v>横浜市戸塚戸塚町４５３６番地１８ 富士見丘ハイツC棟５０４号</v>
          </cell>
          <cell r="AT6" t="str">
            <v>横浜市</v>
          </cell>
          <cell r="AU6" t="str">
            <v>戸塚戸塚町４５３６番地１８ 富士見丘ハイツC棟５０４号</v>
          </cell>
          <cell r="AV6" t="str">
            <v>244-0003</v>
          </cell>
        </row>
        <row r="7">
          <cell r="A7" t="str">
            <v>よこやま</v>
          </cell>
          <cell r="B7" t="str">
            <v>ssa-001</v>
          </cell>
          <cell r="C7">
            <v>5</v>
          </cell>
          <cell r="D7" t="str">
            <v>横山　映子</v>
          </cell>
          <cell r="E7" t="str">
            <v>サクラス戸塚</v>
          </cell>
          <cell r="F7" t="str">
            <v>東横フェスタ3</v>
          </cell>
        </row>
        <row r="7">
          <cell r="L7">
            <v>5</v>
          </cell>
          <cell r="M7">
            <v>5</v>
          </cell>
          <cell r="N7">
            <v>2</v>
          </cell>
        </row>
        <row r="7">
          <cell r="T7" t="str">
            <v>7:00～10:00</v>
          </cell>
          <cell r="U7" t="str">
            <v>16:00～20:00</v>
          </cell>
        </row>
        <row r="7">
          <cell r="AA7">
            <v>3</v>
          </cell>
          <cell r="AB7">
            <v>4</v>
          </cell>
        </row>
        <row r="7">
          <cell r="AH7">
            <v>1225</v>
          </cell>
        </row>
        <row r="7">
          <cell r="AM7" t="str">
            <v>甲</v>
          </cell>
          <cell r="AN7" t="str">
            <v>加入</v>
          </cell>
          <cell r="AO7">
            <v>40141</v>
          </cell>
          <cell r="AP7" t="str">
            <v>16年3ヶ月</v>
          </cell>
          <cell r="AQ7">
            <v>20562</v>
          </cell>
          <cell r="AR7">
            <v>69</v>
          </cell>
          <cell r="AS7" t="str">
            <v>横浜市戸塚区上倉田町1109</v>
          </cell>
          <cell r="AT7" t="str">
            <v>横浜市戸塚区</v>
          </cell>
          <cell r="AU7" t="str">
            <v>上倉田町１１０９</v>
          </cell>
          <cell r="AV7" t="str">
            <v>244-0816</v>
          </cell>
        </row>
        <row r="8">
          <cell r="A8" t="str">
            <v>わたべ</v>
          </cell>
          <cell r="B8" t="str">
            <v>ssa-005</v>
          </cell>
          <cell r="C8">
            <v>5</v>
          </cell>
          <cell r="D8" t="str">
            <v>渡部　都美子</v>
          </cell>
          <cell r="E8" t="str">
            <v>サクラス戸塚</v>
          </cell>
        </row>
        <row r="8">
          <cell r="L8">
            <v>5</v>
          </cell>
          <cell r="M8">
            <v>5</v>
          </cell>
        </row>
        <row r="8">
          <cell r="T8" t="str">
            <v>7:00～10:00</v>
          </cell>
        </row>
        <row r="8">
          <cell r="AA8">
            <v>3</v>
          </cell>
          <cell r="AB8">
            <v>1.5</v>
          </cell>
        </row>
        <row r="8">
          <cell r="AH8">
            <v>1225</v>
          </cell>
        </row>
        <row r="8">
          <cell r="AM8" t="str">
            <v>甲</v>
          </cell>
        </row>
        <row r="8">
          <cell r="AO8">
            <v>42533</v>
          </cell>
          <cell r="AP8" t="str">
            <v>9年9ヶ月</v>
          </cell>
          <cell r="AQ8">
            <v>15960</v>
          </cell>
          <cell r="AR8">
            <v>82</v>
          </cell>
          <cell r="AS8" t="str">
            <v>横浜市戸塚区矢部町５７２番地</v>
          </cell>
          <cell r="AT8" t="str">
            <v>横浜市戸塚区</v>
          </cell>
          <cell r="AU8" t="str">
            <v>矢部町５７２番地</v>
          </cell>
          <cell r="AV8" t="str">
            <v>245-0053</v>
          </cell>
        </row>
        <row r="9">
          <cell r="A9" t="str">
            <v>いしい</v>
          </cell>
          <cell r="B9" t="str">
            <v>ssa-006</v>
          </cell>
          <cell r="C9">
            <v>5</v>
          </cell>
          <cell r="D9" t="str">
            <v>石井　菊代</v>
          </cell>
          <cell r="E9" t="str">
            <v>サクラス戸塚</v>
          </cell>
          <cell r="F9" t="str">
            <v>東横フェスタ8</v>
          </cell>
          <cell r="G9" t="str">
            <v>東戸塚NSビル</v>
          </cell>
        </row>
        <row r="9">
          <cell r="L9">
            <v>5</v>
          </cell>
          <cell r="M9">
            <v>4</v>
          </cell>
          <cell r="N9">
            <v>4</v>
          </cell>
          <cell r="O9">
            <v>1</v>
          </cell>
        </row>
        <row r="9">
          <cell r="T9" t="str">
            <v>7:00～10:00</v>
          </cell>
          <cell r="U9" t="str">
            <v>12:00～15:00</v>
          </cell>
          <cell r="V9" t="str">
            <v>7:00～11:00</v>
          </cell>
        </row>
        <row r="9">
          <cell r="AA9">
            <v>3</v>
          </cell>
          <cell r="AB9">
            <v>3</v>
          </cell>
          <cell r="AC9">
            <v>4</v>
          </cell>
        </row>
        <row r="9">
          <cell r="AH9">
            <v>1225</v>
          </cell>
        </row>
        <row r="9">
          <cell r="AM9" t="str">
            <v>甲</v>
          </cell>
          <cell r="AN9" t="str">
            <v>加入</v>
          </cell>
          <cell r="AO9">
            <v>42711</v>
          </cell>
          <cell r="AP9" t="str">
            <v>9年3ヶ月</v>
          </cell>
          <cell r="AQ9">
            <v>17190</v>
          </cell>
          <cell r="AR9">
            <v>79</v>
          </cell>
          <cell r="AS9" t="str">
            <v>横浜市戸塚区吉田町１１１０番地１８サンパティーク戸塚１０２号</v>
          </cell>
          <cell r="AT9" t="str">
            <v>横浜市戸塚区</v>
          </cell>
          <cell r="AU9" t="str">
            <v>吉田町１１１０番地１８サンパティーク戸塚１０２号</v>
          </cell>
          <cell r="AV9" t="str">
            <v>244-0817</v>
          </cell>
        </row>
        <row r="10">
          <cell r="A10" t="str">
            <v>たけもと</v>
          </cell>
          <cell r="B10" t="str">
            <v>ssa-007</v>
          </cell>
          <cell r="C10">
            <v>5</v>
          </cell>
          <cell r="D10" t="str">
            <v>竹本　幸子</v>
          </cell>
          <cell r="E10" t="str">
            <v>サクラス戸塚</v>
          </cell>
          <cell r="F10" t="str">
            <v>サクラス戸塚</v>
          </cell>
          <cell r="G10" t="str">
            <v>ワタナベビル</v>
          </cell>
        </row>
        <row r="10">
          <cell r="L10">
            <v>5</v>
          </cell>
          <cell r="M10">
            <v>4</v>
          </cell>
          <cell r="N10">
            <v>1</v>
          </cell>
          <cell r="O10">
            <v>1</v>
          </cell>
        </row>
        <row r="10">
          <cell r="T10" t="str">
            <v>12:00～18:00</v>
          </cell>
          <cell r="U10" t="str">
            <v>12:00～21:00</v>
          </cell>
          <cell r="V10" t="str">
            <v>13:00～14:00</v>
          </cell>
        </row>
        <row r="10">
          <cell r="AA10">
            <v>6</v>
          </cell>
          <cell r="AB10">
            <v>8</v>
          </cell>
          <cell r="AC10">
            <v>1</v>
          </cell>
        </row>
        <row r="10">
          <cell r="AH10">
            <v>1225</v>
          </cell>
        </row>
        <row r="10">
          <cell r="AM10" t="str">
            <v>甲</v>
          </cell>
          <cell r="AN10" t="str">
            <v>加入,健保（ご主人を扶養）</v>
          </cell>
          <cell r="AO10">
            <v>39052</v>
          </cell>
          <cell r="AP10" t="str">
            <v>19年3ヶ月</v>
          </cell>
          <cell r="AQ10">
            <v>19749</v>
          </cell>
          <cell r="AR10">
            <v>72</v>
          </cell>
          <cell r="AS10" t="str">
            <v>横浜市南区永田みなみ台２番１１-５０６号</v>
          </cell>
          <cell r="AT10" t="str">
            <v>横浜市南区</v>
          </cell>
          <cell r="AU10" t="str">
            <v>永田みなみ台２番１１-５０６号</v>
          </cell>
          <cell r="AV10" t="str">
            <v>232-0075</v>
          </cell>
        </row>
        <row r="11">
          <cell r="A11" t="str">
            <v>いわさき</v>
          </cell>
          <cell r="B11" t="str">
            <v>ssa-003</v>
          </cell>
          <cell r="C11">
            <v>5</v>
          </cell>
          <cell r="D11" t="str">
            <v>岩崎　信江</v>
          </cell>
          <cell r="E11" t="str">
            <v>サクラス戸塚</v>
          </cell>
        </row>
        <row r="11">
          <cell r="L11">
            <v>5</v>
          </cell>
          <cell r="M11">
            <v>5</v>
          </cell>
        </row>
        <row r="11">
          <cell r="T11" t="str">
            <v>7:00～10:00</v>
          </cell>
        </row>
        <row r="11">
          <cell r="AA11">
            <v>3</v>
          </cell>
          <cell r="AB11">
            <v>1.5</v>
          </cell>
        </row>
        <row r="11">
          <cell r="AH11">
            <v>1225</v>
          </cell>
        </row>
        <row r="11">
          <cell r="AM11" t="str">
            <v>甲</v>
          </cell>
        </row>
        <row r="11">
          <cell r="AO11">
            <v>43648</v>
          </cell>
          <cell r="AP11" t="str">
            <v>6年8ヶ月</v>
          </cell>
          <cell r="AQ11">
            <v>16311</v>
          </cell>
          <cell r="AR11">
            <v>81</v>
          </cell>
          <cell r="AS11" t="str">
            <v>横浜市栄区飯島町５２７飯島団地３－４－３０６号　</v>
          </cell>
          <cell r="AT11" t="str">
            <v>横浜市栄区</v>
          </cell>
          <cell r="AU11" t="str">
            <v>飯島町５２７飯島団地３－４－３０６号　</v>
          </cell>
          <cell r="AV11" t="str">
            <v>244-0842</v>
          </cell>
        </row>
        <row r="12">
          <cell r="A12" t="str">
            <v>すずき</v>
          </cell>
          <cell r="B12" t="str">
            <v>ssa-014</v>
          </cell>
        </row>
        <row r="12">
          <cell r="D12" t="str">
            <v>鈴木　久美子</v>
          </cell>
          <cell r="E12" t="str">
            <v>サクラス戸塚</v>
          </cell>
          <cell r="F12" t="str">
            <v>ワタナベビル</v>
          </cell>
        </row>
        <row r="12">
          <cell r="L12">
            <v>2</v>
          </cell>
          <cell r="M12">
            <v>2</v>
          </cell>
          <cell r="N12">
            <v>2</v>
          </cell>
        </row>
        <row r="12">
          <cell r="T12" t="str">
            <v>12:00～18:00</v>
          </cell>
          <cell r="U12" t="str">
            <v>13:00～14:00</v>
          </cell>
        </row>
        <row r="12">
          <cell r="AA12">
            <v>6</v>
          </cell>
        </row>
        <row r="12">
          <cell r="AH12">
            <v>1225</v>
          </cell>
        </row>
        <row r="12">
          <cell r="AO12">
            <v>46062</v>
          </cell>
          <cell r="AP12" t="str">
            <v>0年1ヶ月</v>
          </cell>
          <cell r="AQ12">
            <v>30775</v>
          </cell>
          <cell r="AR12">
            <v>41</v>
          </cell>
          <cell r="AS12" t="str">
            <v>横浜市戸塚区汲沢４丁目６番３</v>
          </cell>
          <cell r="AT12" t="str">
            <v>横浜市戸塚区</v>
          </cell>
          <cell r="AU12" t="str">
            <v>汲沢４丁目６番３</v>
          </cell>
          <cell r="AV12" t="str">
            <v>245-0061</v>
          </cell>
        </row>
        <row r="13">
          <cell r="A13" t="str">
            <v>かねきや</v>
          </cell>
          <cell r="B13" t="str">
            <v>oth-016</v>
          </cell>
          <cell r="C13">
            <v>1</v>
          </cell>
          <cell r="D13" t="str">
            <v>金木　靖幸</v>
          </cell>
          <cell r="E13" t="str">
            <v>甲の管理物件全般</v>
          </cell>
        </row>
        <row r="13">
          <cell r="M13">
            <v>4</v>
          </cell>
        </row>
        <row r="13">
          <cell r="T13" t="str">
            <v>日中作業</v>
          </cell>
          <cell r="U13" t="str">
            <v>夜間作業</v>
          </cell>
        </row>
        <row r="13">
          <cell r="AH13">
            <v>1300</v>
          </cell>
          <cell r="AI13">
            <v>1600</v>
          </cell>
        </row>
        <row r="13">
          <cell r="AM13" t="str">
            <v>乙</v>
          </cell>
        </row>
        <row r="13">
          <cell r="AO13">
            <v>45763</v>
          </cell>
          <cell r="AP13" t="str">
            <v>0年10ヶ月</v>
          </cell>
          <cell r="AQ13">
            <v>38550</v>
          </cell>
          <cell r="AR13">
            <v>20</v>
          </cell>
          <cell r="AS13" t="str">
            <v>横浜市栄区長沼町２６６番地ヴィラージュ石井１０２号</v>
          </cell>
          <cell r="AT13" t="str">
            <v>横浜市栄区</v>
          </cell>
          <cell r="AU13" t="str">
            <v>長沼町２６６番地ヴィラージュ石井１０２号</v>
          </cell>
          <cell r="AV13" t="str">
            <v>244-0841</v>
          </cell>
        </row>
        <row r="14">
          <cell r="A14" t="str">
            <v>いとうまみ</v>
          </cell>
          <cell r="B14" t="str">
            <v>oth-006</v>
          </cell>
          <cell r="C14">
            <v>2</v>
          </cell>
          <cell r="D14" t="str">
            <v>伊藤　麻美子</v>
          </cell>
          <cell r="E14" t="str">
            <v>甲の管理物件全般</v>
          </cell>
        </row>
        <row r="14">
          <cell r="M14">
            <v>8</v>
          </cell>
        </row>
        <row r="14">
          <cell r="T14" t="str">
            <v>日中作業</v>
          </cell>
          <cell r="U14" t="str">
            <v>夜間作業</v>
          </cell>
        </row>
        <row r="14">
          <cell r="AH14">
            <v>1300</v>
          </cell>
          <cell r="AI14">
            <v>1600</v>
          </cell>
        </row>
        <row r="14">
          <cell r="AM14" t="str">
            <v>甲</v>
          </cell>
        </row>
        <row r="14">
          <cell r="AO14">
            <v>40982</v>
          </cell>
          <cell r="AP14" t="str">
            <v>13年11ヶ月</v>
          </cell>
          <cell r="AQ14">
            <v>26879</v>
          </cell>
          <cell r="AR14">
            <v>52</v>
          </cell>
          <cell r="AS14" t="str">
            <v>横浜市戸塚区上矢部町４４０番地１ グランガーデン東戸塚６０６号</v>
          </cell>
          <cell r="AT14" t="str">
            <v>横浜市戸塚区</v>
          </cell>
          <cell r="AU14" t="str">
            <v>上矢部町４４０番地１ グランガーデン東戸塚６０６号</v>
          </cell>
          <cell r="AV14" t="str">
            <v>245-0053</v>
          </cell>
        </row>
        <row r="15">
          <cell r="A15" t="str">
            <v>しばた</v>
          </cell>
          <cell r="B15" t="str">
            <v>oth-018</v>
          </cell>
          <cell r="C15">
            <v>2</v>
          </cell>
          <cell r="D15" t="str">
            <v>柴田　幸恵</v>
          </cell>
          <cell r="E15" t="str">
            <v>甲の管理物件全般</v>
          </cell>
        </row>
        <row r="15">
          <cell r="M15">
            <v>8</v>
          </cell>
        </row>
        <row r="15">
          <cell r="T15" t="str">
            <v>日中作業</v>
          </cell>
          <cell r="U15" t="str">
            <v>夜間作業</v>
          </cell>
        </row>
        <row r="15">
          <cell r="AH15">
            <v>1300</v>
          </cell>
          <cell r="AI15">
            <v>1600</v>
          </cell>
        </row>
        <row r="15">
          <cell r="AM15" t="str">
            <v>乙</v>
          </cell>
        </row>
        <row r="15">
          <cell r="AO15">
            <v>40627</v>
          </cell>
          <cell r="AP15" t="str">
            <v>14年11ヶ月</v>
          </cell>
          <cell r="AQ15">
            <v>26972</v>
          </cell>
          <cell r="AR15">
            <v>52</v>
          </cell>
          <cell r="AS15" t="str">
            <v>横浜市泉区岡津町７５番地９</v>
          </cell>
          <cell r="AT15" t="str">
            <v>横浜市泉区</v>
          </cell>
          <cell r="AU15" t="str">
            <v>岡津町７５番地９</v>
          </cell>
          <cell r="AV15" t="str">
            <v>245-0003</v>
          </cell>
        </row>
        <row r="16">
          <cell r="A16" t="str">
            <v>とみた</v>
          </cell>
          <cell r="B16" t="str">
            <v>oth-014</v>
          </cell>
          <cell r="C16">
            <v>3</v>
          </cell>
          <cell r="D16" t="str">
            <v>富田　緑</v>
          </cell>
          <cell r="E16" t="str">
            <v>東横東戸塚ビル</v>
          </cell>
        </row>
        <row r="16">
          <cell r="L16">
            <v>4</v>
          </cell>
          <cell r="M16">
            <v>4</v>
          </cell>
        </row>
        <row r="16">
          <cell r="T16" t="str">
            <v>7:00～9:00</v>
          </cell>
        </row>
        <row r="16">
          <cell r="AA16">
            <v>2</v>
          </cell>
        </row>
        <row r="16">
          <cell r="AH16">
            <v>1225</v>
          </cell>
        </row>
        <row r="16">
          <cell r="AM16" t="str">
            <v>甲</v>
          </cell>
        </row>
        <row r="16">
          <cell r="AO16">
            <v>45593</v>
          </cell>
          <cell r="AP16" t="str">
            <v>1年4ヶ月</v>
          </cell>
          <cell r="AQ16">
            <v>17661</v>
          </cell>
          <cell r="AR16">
            <v>77</v>
          </cell>
          <cell r="AS16" t="str">
            <v>横浜市戸塚区汲沢町１０-２０</v>
          </cell>
          <cell r="AT16" t="str">
            <v>横浜市戸塚区</v>
          </cell>
          <cell r="AU16" t="str">
            <v>汲沢町１０-２０</v>
          </cell>
          <cell r="AV16" t="str">
            <v>245-0062</v>
          </cell>
        </row>
        <row r="17">
          <cell r="A17" t="str">
            <v>たかの</v>
          </cell>
          <cell r="B17" t="str">
            <v>oth-017</v>
          </cell>
          <cell r="C17">
            <v>4</v>
          </cell>
          <cell r="D17" t="str">
            <v>高野　令子</v>
          </cell>
          <cell r="E17" t="str">
            <v>東横東戸塚ビル</v>
          </cell>
          <cell r="F17" t="str">
            <v>東横東戸塚ビル</v>
          </cell>
          <cell r="G17" t="str">
            <v>スプリングいずみ</v>
          </cell>
          <cell r="H17" t="str">
            <v>メゾンドフレール</v>
          </cell>
          <cell r="I17" t="str">
            <v>ビユーティーヒルズ2001</v>
          </cell>
        </row>
        <row r="17">
          <cell r="L17">
            <v>2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</row>
        <row r="17">
          <cell r="T17" t="str">
            <v>8:00～10:00</v>
          </cell>
          <cell r="U17" t="str">
            <v>8:00～9:00</v>
          </cell>
          <cell r="V17" t="str">
            <v>13:00～15:00</v>
          </cell>
          <cell r="W17" t="str">
            <v>10:30～12:30</v>
          </cell>
          <cell r="X17" t="str">
            <v>9:30～10:30</v>
          </cell>
        </row>
        <row r="17">
          <cell r="AA17">
            <v>2</v>
          </cell>
          <cell r="AB17">
            <v>1</v>
          </cell>
          <cell r="AC17">
            <v>2</v>
          </cell>
          <cell r="AD17">
            <v>2</v>
          </cell>
          <cell r="AE17">
            <v>1</v>
          </cell>
        </row>
        <row r="17">
          <cell r="AH17">
            <v>1225</v>
          </cell>
        </row>
        <row r="17">
          <cell r="AM17" t="str">
            <v>乙</v>
          </cell>
        </row>
        <row r="17">
          <cell r="AO17">
            <v>45367</v>
          </cell>
          <cell r="AP17" t="str">
            <v>1年11ヶ月</v>
          </cell>
          <cell r="AQ17">
            <v>23152</v>
          </cell>
          <cell r="AR17">
            <v>62</v>
          </cell>
          <cell r="AS17" t="str">
            <v>横浜市泉区和泉中田西４丁目７番1号</v>
          </cell>
          <cell r="AT17" t="str">
            <v>横浜市泉区</v>
          </cell>
          <cell r="AU17" t="str">
            <v>和泉中田西４丁目７番1号</v>
          </cell>
          <cell r="AV17" t="str">
            <v>245-0015</v>
          </cell>
        </row>
        <row r="18">
          <cell r="A18" t="str">
            <v>さくらざわ</v>
          </cell>
          <cell r="B18" t="str">
            <v>oth-021</v>
          </cell>
          <cell r="C18">
            <v>1</v>
          </cell>
          <cell r="D18" t="str">
            <v>櫻澤　多恵子</v>
          </cell>
          <cell r="E18" t="str">
            <v>シンコー東戸塚ビル</v>
          </cell>
        </row>
        <row r="18">
          <cell r="L18">
            <v>1</v>
          </cell>
          <cell r="M18">
            <v>1</v>
          </cell>
        </row>
        <row r="18">
          <cell r="T18" t="str">
            <v>8:30～9:30</v>
          </cell>
        </row>
        <row r="18">
          <cell r="AA18">
            <v>1</v>
          </cell>
        </row>
        <row r="18">
          <cell r="AH18">
            <v>1225</v>
          </cell>
        </row>
        <row r="18">
          <cell r="AM18" t="str">
            <v>甲</v>
          </cell>
        </row>
        <row r="18">
          <cell r="AO18">
            <v>45901</v>
          </cell>
          <cell r="AP18" t="str">
            <v>0年6ヶ月</v>
          </cell>
          <cell r="AQ18">
            <v>19733</v>
          </cell>
          <cell r="AR18">
            <v>72</v>
          </cell>
          <cell r="AS18" t="str">
            <v>横浜市南区庚台４９ひろみ荘</v>
          </cell>
          <cell r="AT18" t="str">
            <v>横浜市南区</v>
          </cell>
          <cell r="AU18" t="str">
            <v>庚台４９ひろみ荘</v>
          </cell>
          <cell r="AV18" t="str">
            <v>245-0015</v>
          </cell>
        </row>
        <row r="19">
          <cell r="A19" t="str">
            <v>こばやし</v>
          </cell>
          <cell r="B19" t="str">
            <v>oth-020</v>
          </cell>
          <cell r="C19">
            <v>2</v>
          </cell>
          <cell r="D19" t="str">
            <v>小林　まち子</v>
          </cell>
          <cell r="E19" t="str">
            <v>東横湘南台ビル</v>
          </cell>
        </row>
        <row r="19">
          <cell r="L19">
            <v>2</v>
          </cell>
          <cell r="M19">
            <v>2</v>
          </cell>
        </row>
        <row r="19">
          <cell r="T19" t="str">
            <v>10:00～11:00</v>
          </cell>
        </row>
        <row r="19">
          <cell r="AA19">
            <v>1</v>
          </cell>
        </row>
        <row r="19">
          <cell r="AH19">
            <v>1225</v>
          </cell>
        </row>
        <row r="19">
          <cell r="AM19" t="str">
            <v>甲</v>
          </cell>
        </row>
        <row r="19">
          <cell r="AO19">
            <v>45845</v>
          </cell>
          <cell r="AP19" t="str">
            <v>0年8ヶ月</v>
          </cell>
          <cell r="AQ19">
            <v>19692</v>
          </cell>
          <cell r="AR19">
            <v>72</v>
          </cell>
          <cell r="AS19" t="str">
            <v>神奈川県茅ケ崎市堤１７２５</v>
          </cell>
          <cell r="AT19" t="str">
            <v>神奈川県茅ケ崎市</v>
          </cell>
          <cell r="AU19" t="str">
            <v>堤１７２５</v>
          </cell>
          <cell r="AV19" t="str">
            <v>253-0006</v>
          </cell>
        </row>
        <row r="20">
          <cell r="A20" t="str">
            <v>そうた</v>
          </cell>
          <cell r="B20" t="str">
            <v>oth-009</v>
          </cell>
          <cell r="C20">
            <v>5</v>
          </cell>
          <cell r="D20" t="str">
            <v>宗田　弘子</v>
          </cell>
          <cell r="E20" t="str">
            <v>戸塚法人会館</v>
          </cell>
          <cell r="F20" t="str">
            <v>ワイエス建築事務所</v>
          </cell>
          <cell r="G20" t="str">
            <v>東横フェスタ1</v>
          </cell>
          <cell r="H20" t="str">
            <v>東横フェスタ1</v>
          </cell>
        </row>
        <row r="20">
          <cell r="L20">
            <v>6</v>
          </cell>
          <cell r="M20">
            <v>5</v>
          </cell>
          <cell r="N20">
            <v>5</v>
          </cell>
          <cell r="O20">
            <v>2</v>
          </cell>
          <cell r="P20">
            <v>1</v>
          </cell>
        </row>
        <row r="20">
          <cell r="T20" t="str">
            <v>8:30～10:00</v>
          </cell>
          <cell r="U20" t="str">
            <v>10:00～11:00</v>
          </cell>
          <cell r="V20" t="str">
            <v>12:00～15:00</v>
          </cell>
          <cell r="W20" t="str">
            <v>16:00～20:00</v>
          </cell>
        </row>
        <row r="20">
          <cell r="AA20">
            <v>1.5</v>
          </cell>
          <cell r="AB20">
            <v>1</v>
          </cell>
          <cell r="AC20">
            <v>3</v>
          </cell>
          <cell r="AD20">
            <v>4</v>
          </cell>
        </row>
        <row r="20">
          <cell r="AH20">
            <v>1225</v>
          </cell>
        </row>
        <row r="20">
          <cell r="AM20" t="str">
            <v>甲</v>
          </cell>
        </row>
        <row r="20">
          <cell r="AO20">
            <v>45138</v>
          </cell>
          <cell r="AP20" t="str">
            <v>2年7ヶ月</v>
          </cell>
          <cell r="AQ20">
            <v>21236</v>
          </cell>
          <cell r="AR20">
            <v>68</v>
          </cell>
          <cell r="AS20" t="str">
            <v>横浜市栄区笠間３丁目２２番２７第５二本松荘１０１号</v>
          </cell>
          <cell r="AT20" t="str">
            <v>横浜市栄区</v>
          </cell>
          <cell r="AU20" t="str">
            <v>笠間３丁目２２番２７第５二本松荘１０１号</v>
          </cell>
          <cell r="AV20" t="str">
            <v>244-0003</v>
          </cell>
        </row>
        <row r="21">
          <cell r="A21" t="str">
            <v>さくらいま</v>
          </cell>
          <cell r="B21" t="str">
            <v>oth-010</v>
          </cell>
          <cell r="C21">
            <v>3</v>
          </cell>
          <cell r="D21" t="str">
            <v>桜井　真由子</v>
          </cell>
          <cell r="E21" t="str">
            <v>オセアン矢沢ビル</v>
          </cell>
        </row>
        <row r="21">
          <cell r="L21">
            <v>3</v>
          </cell>
          <cell r="M21">
            <v>3</v>
          </cell>
        </row>
        <row r="21">
          <cell r="T21" t="str">
            <v>9:00～12:00</v>
          </cell>
        </row>
        <row r="21">
          <cell r="AA21">
            <v>3</v>
          </cell>
        </row>
        <row r="21">
          <cell r="AH21">
            <v>1225</v>
          </cell>
        </row>
        <row r="21">
          <cell r="AM21" t="str">
            <v>甲3社BTメイン</v>
          </cell>
        </row>
        <row r="21">
          <cell r="AO21">
            <v>45140</v>
          </cell>
          <cell r="AP21" t="str">
            <v>2年7ヶ月</v>
          </cell>
          <cell r="AQ21">
            <v>32572</v>
          </cell>
          <cell r="AR21">
            <v>37</v>
          </cell>
          <cell r="AS21" t="str">
            <v>横浜市戸塚区柏尾町１３５１番地６</v>
          </cell>
          <cell r="AT21" t="str">
            <v>横浜市戸塚区</v>
          </cell>
          <cell r="AU21" t="str">
            <v>柏尾町１３５１番地６</v>
          </cell>
          <cell r="AV21" t="str">
            <v>244-0812</v>
          </cell>
        </row>
        <row r="22">
          <cell r="A22" t="str">
            <v>むなかた</v>
          </cell>
          <cell r="B22" t="str">
            <v>oth-011</v>
          </cell>
          <cell r="C22">
            <v>3</v>
          </cell>
          <cell r="D22" t="str">
            <v>宗像　由美子</v>
          </cell>
          <cell r="E22" t="str">
            <v>横信戸塚支店</v>
          </cell>
        </row>
        <row r="22">
          <cell r="L22">
            <v>3</v>
          </cell>
          <cell r="M22">
            <v>3</v>
          </cell>
        </row>
        <row r="22">
          <cell r="T22" t="str">
            <v>13:00～16:00</v>
          </cell>
        </row>
        <row r="22">
          <cell r="AA22">
            <v>3</v>
          </cell>
        </row>
        <row r="22">
          <cell r="AH22">
            <v>1225</v>
          </cell>
        </row>
        <row r="22">
          <cell r="AM22" t="str">
            <v>甲</v>
          </cell>
        </row>
        <row r="22">
          <cell r="AO22">
            <v>45303</v>
          </cell>
          <cell r="AP22" t="str">
            <v>2年2ヶ月</v>
          </cell>
          <cell r="AQ22">
            <v>21021</v>
          </cell>
          <cell r="AR22">
            <v>68</v>
          </cell>
          <cell r="AS22" t="str">
            <v>横浜市戸塚区戸塚町３６８０番地２ライオンズマンション戸塚第６－３０２号</v>
          </cell>
          <cell r="AT22" t="str">
            <v>横浜市戸塚区</v>
          </cell>
          <cell r="AU22" t="str">
            <v>戸塚町３６８０番地２ライオンズマンション戸塚第６－３０２号</v>
          </cell>
          <cell r="AV22" t="str">
            <v>244-0003</v>
          </cell>
        </row>
        <row r="23">
          <cell r="A23" t="str">
            <v>かしま</v>
          </cell>
          <cell r="B23" t="str">
            <v>oth-012</v>
          </cell>
          <cell r="C23">
            <v>3</v>
          </cell>
          <cell r="D23" t="str">
            <v>鹿島　キヨ子</v>
          </cell>
          <cell r="E23" t="str">
            <v>東横本社ビル</v>
          </cell>
        </row>
        <row r="23">
          <cell r="L23">
            <v>3</v>
          </cell>
          <cell r="M23">
            <v>3</v>
          </cell>
        </row>
        <row r="23">
          <cell r="T23" t="str">
            <v>8:00～9:00</v>
          </cell>
        </row>
        <row r="23">
          <cell r="AA23">
            <v>1</v>
          </cell>
        </row>
        <row r="23">
          <cell r="AH23">
            <v>1225</v>
          </cell>
        </row>
        <row r="23">
          <cell r="AM23" t="str">
            <v>甲</v>
          </cell>
        </row>
        <row r="23">
          <cell r="AO23">
            <v>45362</v>
          </cell>
          <cell r="AP23" t="str">
            <v>2年0ヶ月</v>
          </cell>
          <cell r="AQ23">
            <v>17201</v>
          </cell>
          <cell r="AR23">
            <v>79</v>
          </cell>
          <cell r="AS23" t="str">
            <v>横浜市戸塚区戸塚町５０９５番地ラ・パルフェドシティーニュNo２-３１３号</v>
          </cell>
          <cell r="AT23" t="str">
            <v>横浜市戸塚区</v>
          </cell>
          <cell r="AU23" t="str">
            <v>戸塚町５０９５番地ラ・パルフェドシティーニュNo２-３１３号</v>
          </cell>
          <cell r="AV23" t="str">
            <v>244-0003</v>
          </cell>
        </row>
        <row r="24">
          <cell r="A24" t="str">
            <v>いとうし</v>
          </cell>
          <cell r="B24" t="str">
            <v>oth-013</v>
          </cell>
          <cell r="C24">
            <v>2</v>
          </cell>
          <cell r="D24" t="str">
            <v>伊藤　茂美</v>
          </cell>
          <cell r="E24" t="str">
            <v>横信センター南支店</v>
          </cell>
        </row>
        <row r="24">
          <cell r="L24">
            <v>2</v>
          </cell>
          <cell r="M24">
            <v>2</v>
          </cell>
        </row>
        <row r="24">
          <cell r="T24" t="str">
            <v>14:00～16:00</v>
          </cell>
        </row>
        <row r="24">
          <cell r="AA24">
            <v>2</v>
          </cell>
        </row>
        <row r="24">
          <cell r="AH24">
            <v>1225</v>
          </cell>
        </row>
        <row r="24">
          <cell r="AM24" t="str">
            <v>乙</v>
          </cell>
        </row>
        <row r="24">
          <cell r="AO24">
            <v>45362</v>
          </cell>
          <cell r="AP24" t="str">
            <v>2年0ヶ月</v>
          </cell>
          <cell r="AQ24">
            <v>24987</v>
          </cell>
          <cell r="AR24">
            <v>57</v>
          </cell>
          <cell r="AS24" t="str">
            <v>横浜市都筑区北山田３丁目２７番４山田富士公園ハイツ４号棟</v>
          </cell>
          <cell r="AT24" t="str">
            <v>横浜市都筑区</v>
          </cell>
          <cell r="AU24" t="str">
            <v>北山田３丁目２７番４山田富士公園ハイツ４号棟</v>
          </cell>
          <cell r="AV24" t="str">
            <v>244-0021</v>
          </cell>
        </row>
        <row r="25">
          <cell r="A25" t="str">
            <v>しんかい</v>
          </cell>
          <cell r="B25" t="str">
            <v>oth-001</v>
          </cell>
          <cell r="C25">
            <v>3</v>
          </cell>
          <cell r="D25" t="str">
            <v>新海　ヨリ子</v>
          </cell>
          <cell r="E25" t="str">
            <v>横浜OTビル</v>
          </cell>
          <cell r="F25" t="str">
            <v>横浜OTビル</v>
          </cell>
        </row>
        <row r="25">
          <cell r="L25">
            <v>2</v>
          </cell>
          <cell r="M25">
            <v>1</v>
          </cell>
          <cell r="N25">
            <v>1</v>
          </cell>
        </row>
        <row r="25">
          <cell r="T25" t="str">
            <v>7:00～11:00</v>
          </cell>
          <cell r="U25" t="str">
            <v>7:00～10:00</v>
          </cell>
        </row>
        <row r="25">
          <cell r="AA25">
            <v>4</v>
          </cell>
          <cell r="AB25">
            <v>3</v>
          </cell>
        </row>
        <row r="25">
          <cell r="AH25">
            <v>1300</v>
          </cell>
        </row>
        <row r="25">
          <cell r="AM25" t="str">
            <v>甲</v>
          </cell>
        </row>
        <row r="25">
          <cell r="AO25">
            <v>41862</v>
          </cell>
          <cell r="AP25" t="str">
            <v>11年7ヶ月</v>
          </cell>
          <cell r="AQ25">
            <v>19079</v>
          </cell>
          <cell r="AR25">
            <v>73</v>
          </cell>
          <cell r="AS25" t="str">
            <v>横浜市港南区日野５丁目２－７サンブリッジ貴奈美３０５号</v>
          </cell>
          <cell r="AT25" t="str">
            <v>横浜市港南区</v>
          </cell>
          <cell r="AU25" t="str">
            <v>日野５丁目２－７サンブリッジ貴奈美３０５号</v>
          </cell>
          <cell r="AV25" t="str">
            <v>234-0051</v>
          </cell>
        </row>
        <row r="26">
          <cell r="A26" t="str">
            <v>とがし</v>
          </cell>
          <cell r="B26" t="str">
            <v>oth-003</v>
          </cell>
          <cell r="C26">
            <v>4</v>
          </cell>
          <cell r="D26" t="str">
            <v>富樫　ヒサ</v>
          </cell>
          <cell r="E26" t="str">
            <v>横浜OTビル</v>
          </cell>
        </row>
        <row r="26">
          <cell r="L26">
            <v>3</v>
          </cell>
          <cell r="M26">
            <v>3</v>
          </cell>
        </row>
        <row r="26">
          <cell r="T26" t="str">
            <v>7:00～10:00</v>
          </cell>
        </row>
        <row r="26">
          <cell r="AA26">
            <v>3</v>
          </cell>
        </row>
        <row r="26">
          <cell r="AH26">
            <v>1300</v>
          </cell>
        </row>
        <row r="26">
          <cell r="AM26" t="str">
            <v>甲W BTメイン</v>
          </cell>
        </row>
        <row r="26">
          <cell r="AO26">
            <v>43650</v>
          </cell>
          <cell r="AP26" t="str">
            <v>6年8ヶ月</v>
          </cell>
          <cell r="AQ26">
            <v>16982</v>
          </cell>
          <cell r="AR26">
            <v>79</v>
          </cell>
          <cell r="AS26" t="str">
            <v>横浜市戸塚区下倉田５５３番地第１３山仁ハイツ３０３号</v>
          </cell>
          <cell r="AT26" t="str">
            <v>横浜市戸塚区</v>
          </cell>
          <cell r="AU26" t="str">
            <v>下倉田５５３番地第１３山仁ハイツ３０３号</v>
          </cell>
          <cell r="AV26" t="str">
            <v>244-0815</v>
          </cell>
        </row>
        <row r="27">
          <cell r="A27" t="str">
            <v>おぎの</v>
          </cell>
          <cell r="B27" t="str">
            <v>oth-019</v>
          </cell>
          <cell r="C27">
            <v>1</v>
          </cell>
          <cell r="D27" t="str">
            <v>荻野　昭子</v>
          </cell>
          <cell r="E27" t="str">
            <v>横浜OTビル</v>
          </cell>
        </row>
        <row r="27">
          <cell r="L27">
            <v>1</v>
          </cell>
          <cell r="M27">
            <v>1</v>
          </cell>
        </row>
        <row r="27">
          <cell r="T27" t="str">
            <v>7:00～10:00</v>
          </cell>
        </row>
        <row r="27">
          <cell r="AA27">
            <v>3</v>
          </cell>
        </row>
        <row r="27">
          <cell r="AH27">
            <v>1300</v>
          </cell>
        </row>
        <row r="27">
          <cell r="AM27" t="str">
            <v>甲</v>
          </cell>
        </row>
        <row r="27">
          <cell r="AO27">
            <v>45855</v>
          </cell>
          <cell r="AP27" t="str">
            <v>0年7ヶ月</v>
          </cell>
          <cell r="AQ27">
            <v>15723</v>
          </cell>
          <cell r="AR27">
            <v>83</v>
          </cell>
          <cell r="AS27" t="str">
            <v>横浜市保土ヶ谷区川島町６５１番地ハイム向台１３－２０３号</v>
          </cell>
          <cell r="AT27" t="str">
            <v>横浜市保土ヶ谷区</v>
          </cell>
          <cell r="AU27" t="str">
            <v>川島町６５１番地ハイム向台１３－２０３号</v>
          </cell>
          <cell r="AV27" t="str">
            <v>240-0045</v>
          </cell>
        </row>
        <row r="28">
          <cell r="A28" t="str">
            <v>たけした</v>
          </cell>
          <cell r="B28" t="str">
            <v>sns-001</v>
          </cell>
          <cell r="C28">
            <v>4</v>
          </cell>
          <cell r="D28" t="str">
            <v>竹下　寛</v>
          </cell>
          <cell r="E28" t="str">
            <v>東戸塚NSビル1</v>
          </cell>
          <cell r="F28" t="str">
            <v>東戸塚NSビル(祝日)</v>
          </cell>
        </row>
        <row r="28">
          <cell r="L28">
            <v>4</v>
          </cell>
          <cell r="M28">
            <v>4</v>
          </cell>
          <cell r="N28" t="str">
            <v>隔週1</v>
          </cell>
        </row>
        <row r="28">
          <cell r="T28" t="str">
            <v>7:00～10:30</v>
          </cell>
          <cell r="U28" t="str">
            <v>7:00～9:00</v>
          </cell>
        </row>
        <row r="28">
          <cell r="AA28">
            <v>3.5</v>
          </cell>
          <cell r="AB28">
            <v>2</v>
          </cell>
        </row>
        <row r="28">
          <cell r="AH28">
            <v>1225</v>
          </cell>
        </row>
        <row r="28">
          <cell r="AM28" t="str">
            <v>甲</v>
          </cell>
        </row>
        <row r="28">
          <cell r="AO28">
            <v>45809</v>
          </cell>
          <cell r="AP28" t="str">
            <v>0年9ヶ月</v>
          </cell>
          <cell r="AQ28">
            <v>19493</v>
          </cell>
          <cell r="AR28">
            <v>72</v>
          </cell>
          <cell r="AS28" t="str">
            <v>横浜市戸塚区名瀬町７９１番地名瀬住宅９棟１０５号</v>
          </cell>
          <cell r="AT28" t="str">
            <v>横浜市戸塚区</v>
          </cell>
          <cell r="AU28" t="str">
            <v>名瀬町７９１番地名瀬住宅９棟１０５号</v>
          </cell>
          <cell r="AV28" t="str">
            <v>245-0051</v>
          </cell>
        </row>
        <row r="29">
          <cell r="A29" t="str">
            <v>しみず</v>
          </cell>
          <cell r="B29" t="str">
            <v>sns-002</v>
          </cell>
          <cell r="C29">
            <v>5</v>
          </cell>
          <cell r="D29" t="str">
            <v>清水　恭子</v>
          </cell>
          <cell r="E29" t="str">
            <v>東戸塚NSビル2</v>
          </cell>
          <cell r="F29" t="str">
            <v>アルス東戸塚</v>
          </cell>
          <cell r="G29" t="str">
            <v>東横フェスタ3</v>
          </cell>
          <cell r="H29" t="str">
            <v>シュバルツ</v>
          </cell>
          <cell r="I29" t="str">
            <v>ヴェール</v>
          </cell>
          <cell r="J29" t="str">
            <v>アロマバワリー</v>
          </cell>
        </row>
        <row r="29">
          <cell r="L29">
            <v>6</v>
          </cell>
          <cell r="M29">
            <v>2</v>
          </cell>
          <cell r="N29">
            <v>1</v>
          </cell>
          <cell r="O29">
            <v>3</v>
          </cell>
          <cell r="P29">
            <v>1</v>
          </cell>
          <cell r="Q29">
            <v>3</v>
          </cell>
          <cell r="R29">
            <v>1</v>
          </cell>
        </row>
        <row r="29">
          <cell r="T29" t="str">
            <v>7:00～9:30</v>
          </cell>
          <cell r="U29" t="str">
            <v>9:30～10:30</v>
          </cell>
          <cell r="V29" t="str">
            <v>12:00～15:00</v>
          </cell>
          <cell r="W29" t="str">
            <v>10:30～12:00</v>
          </cell>
          <cell r="X29" t="str">
            <v>10:30～11:30</v>
          </cell>
          <cell r="Y29" t="str">
            <v>11:30～12:30</v>
          </cell>
        </row>
        <row r="29">
          <cell r="AA29">
            <v>2.5</v>
          </cell>
          <cell r="AB29">
            <v>1</v>
          </cell>
          <cell r="AC29">
            <v>3</v>
          </cell>
          <cell r="AD29">
            <v>1.5</v>
          </cell>
          <cell r="AE29">
            <v>1</v>
          </cell>
          <cell r="AF29">
            <v>1</v>
          </cell>
        </row>
        <row r="29">
          <cell r="AH29">
            <v>1225</v>
          </cell>
          <cell r="AI29">
            <v>1300</v>
          </cell>
        </row>
        <row r="29">
          <cell r="AM29" t="str">
            <v>甲</v>
          </cell>
          <cell r="AN29" t="str">
            <v>加入</v>
          </cell>
          <cell r="AO29">
            <v>42450</v>
          </cell>
          <cell r="AP29" t="str">
            <v>9年11ヶ月</v>
          </cell>
          <cell r="AQ29">
            <v>17505</v>
          </cell>
          <cell r="AR29">
            <v>78</v>
          </cell>
          <cell r="AS29" t="str">
            <v>横浜市戸塚区矢部町６００番地２</v>
          </cell>
          <cell r="AT29" t="str">
            <v>横浜市戸塚区</v>
          </cell>
          <cell r="AU29" t="str">
            <v>矢部町６００番地２</v>
          </cell>
          <cell r="AV29" t="str">
            <v>244-0002</v>
          </cell>
        </row>
        <row r="30">
          <cell r="A30" t="str">
            <v>すぎもと</v>
          </cell>
          <cell r="B30" t="str">
            <v>sns-003</v>
          </cell>
          <cell r="C30">
            <v>2</v>
          </cell>
          <cell r="D30" t="str">
            <v>杉本　康子</v>
          </cell>
          <cell r="E30" t="str">
            <v>東戸塚NSビル2</v>
          </cell>
          <cell r="F30" t="str">
            <v>アルス東戸塚</v>
          </cell>
        </row>
        <row r="30">
          <cell r="L30">
            <v>2</v>
          </cell>
          <cell r="M30">
            <v>2</v>
          </cell>
          <cell r="N30">
            <v>1</v>
          </cell>
        </row>
        <row r="30">
          <cell r="T30" t="str">
            <v>7:00～9:30</v>
          </cell>
          <cell r="U30" t="str">
            <v>9:30～10:30</v>
          </cell>
        </row>
        <row r="30">
          <cell r="AA30">
            <v>2.5</v>
          </cell>
          <cell r="AB30">
            <v>1</v>
          </cell>
        </row>
        <row r="30">
          <cell r="AH30">
            <v>1225</v>
          </cell>
        </row>
        <row r="30">
          <cell r="AM30" t="str">
            <v>甲</v>
          </cell>
        </row>
        <row r="30">
          <cell r="AO30">
            <v>45826</v>
          </cell>
          <cell r="AP30" t="str">
            <v>0年8ヶ月</v>
          </cell>
          <cell r="AQ30">
            <v>16072</v>
          </cell>
          <cell r="AR30">
            <v>82</v>
          </cell>
          <cell r="AS30" t="str">
            <v>横浜市戸塚区名瀬町７９５番地３</v>
          </cell>
          <cell r="AT30" t="str">
            <v>横浜市戸塚区</v>
          </cell>
          <cell r="AU30" t="str">
            <v>名瀬町７９５番地３</v>
          </cell>
          <cell r="AV30" t="str">
            <v>245-0051</v>
          </cell>
        </row>
        <row r="31">
          <cell r="A31" t="str">
            <v>まつかわ</v>
          </cell>
          <cell r="B31" t="str">
            <v>sns-004</v>
          </cell>
          <cell r="C31">
            <v>1</v>
          </cell>
          <cell r="D31" t="str">
            <v>松川　寿美子</v>
          </cell>
          <cell r="E31" t="str">
            <v>東戸塚NSビル1</v>
          </cell>
          <cell r="F31" t="str">
            <v>東戸塚NSビル2</v>
          </cell>
          <cell r="G31" t="str">
            <v>アルス東戸塚</v>
          </cell>
        </row>
        <row r="31">
          <cell r="L31">
            <v>2</v>
          </cell>
          <cell r="M31">
            <v>1</v>
          </cell>
          <cell r="N31">
            <v>1</v>
          </cell>
          <cell r="O31">
            <v>1</v>
          </cell>
        </row>
        <row r="31">
          <cell r="T31" t="str">
            <v>7:00～10:30</v>
          </cell>
          <cell r="U31" t="str">
            <v>7:00～9:30</v>
          </cell>
          <cell r="V31" t="str">
            <v>9:30～10:30</v>
          </cell>
        </row>
        <row r="31">
          <cell r="AA31">
            <v>3.5</v>
          </cell>
          <cell r="AB31">
            <v>2.5</v>
          </cell>
          <cell r="AC31">
            <v>1</v>
          </cell>
        </row>
        <row r="31">
          <cell r="AH31">
            <v>1225</v>
          </cell>
        </row>
        <row r="31">
          <cell r="AM31" t="str">
            <v>甲</v>
          </cell>
        </row>
        <row r="31">
          <cell r="AO31">
            <v>45833</v>
          </cell>
          <cell r="AP31" t="str">
            <v>0年8ヶ月</v>
          </cell>
          <cell r="AQ31">
            <v>16717</v>
          </cell>
          <cell r="AR31">
            <v>80</v>
          </cell>
          <cell r="AS31" t="str">
            <v>横浜市泉区上飯田町１３３１番地４１棟４０３号</v>
          </cell>
          <cell r="AT31" t="str">
            <v>横浜市泉区</v>
          </cell>
          <cell r="AU31" t="str">
            <v>上飯田町１３３１番地４１棟４０３号</v>
          </cell>
          <cell r="AV31" t="str">
            <v>245-0018</v>
          </cell>
        </row>
        <row r="32">
          <cell r="A32" t="str">
            <v>たけむら</v>
          </cell>
          <cell r="B32" t="str">
            <v>sns-005</v>
          </cell>
          <cell r="C32">
            <v>1</v>
          </cell>
          <cell r="D32" t="str">
            <v>竹村　敦宏</v>
          </cell>
          <cell r="E32" t="str">
            <v>東戸塚NSビル(日曜)</v>
          </cell>
          <cell r="F32" t="str">
            <v>東戸塚NSビル2</v>
          </cell>
        </row>
        <row r="32">
          <cell r="L32">
            <v>2</v>
          </cell>
          <cell r="M32">
            <v>1</v>
          </cell>
          <cell r="N32">
            <v>1</v>
          </cell>
        </row>
        <row r="32">
          <cell r="T32" t="str">
            <v>7:00～9:00</v>
          </cell>
          <cell r="U32" t="str">
            <v>7:00～9:30</v>
          </cell>
        </row>
        <row r="32">
          <cell r="AA32">
            <v>2</v>
          </cell>
          <cell r="AB32">
            <v>2.5</v>
          </cell>
        </row>
        <row r="32">
          <cell r="AH32">
            <v>1225</v>
          </cell>
        </row>
        <row r="32">
          <cell r="AM32" t="str">
            <v>乙</v>
          </cell>
        </row>
        <row r="32">
          <cell r="AO32">
            <v>45998</v>
          </cell>
          <cell r="AP32" t="str">
            <v>0年3ヶ月</v>
          </cell>
          <cell r="AQ32">
            <v>15700</v>
          </cell>
          <cell r="AR32">
            <v>83</v>
          </cell>
          <cell r="AS32" t="str">
            <v>横浜市磯子区上中里１０２８番地１５上中里団地１５１２</v>
          </cell>
          <cell r="AT32" t="str">
            <v>横浜市磯子区</v>
          </cell>
          <cell r="AU32" t="str">
            <v>上中里１０２８番地１５上中里団地１５１２</v>
          </cell>
          <cell r="AV32" t="str">
            <v>245-0018</v>
          </cell>
        </row>
        <row r="33">
          <cell r="A33" t="str">
            <v>たかはしひ</v>
          </cell>
          <cell r="B33" t="str">
            <v>stb-003</v>
          </cell>
          <cell r="C33">
            <v>5</v>
          </cell>
          <cell r="D33" t="str">
            <v>高橋　秀次</v>
          </cell>
          <cell r="E33" t="str">
            <v>合人社高島橋ビル</v>
          </cell>
          <cell r="F33" t="str">
            <v>合人社高島橋ビル</v>
          </cell>
        </row>
        <row r="33">
          <cell r="L33">
            <v>5</v>
          </cell>
          <cell r="M33">
            <v>2</v>
          </cell>
          <cell r="N33">
            <v>3</v>
          </cell>
        </row>
        <row r="33">
          <cell r="T33" t="str">
            <v>6:30～9:30</v>
          </cell>
          <cell r="U33" t="str">
            <v>6:30～8:30</v>
          </cell>
        </row>
        <row r="33">
          <cell r="AA33">
            <v>3</v>
          </cell>
          <cell r="AB33">
            <v>2</v>
          </cell>
        </row>
        <row r="33">
          <cell r="AH33">
            <v>1300</v>
          </cell>
        </row>
        <row r="33">
          <cell r="AM33" t="str">
            <v>甲</v>
          </cell>
          <cell r="AN33" t="str">
            <v>※2022.12.11体調不良の為勤務時間大幅削減。よって雇用・健保全てからいったん退会。</v>
          </cell>
          <cell r="AO33">
            <v>44358</v>
          </cell>
          <cell r="AP33" t="str">
            <v>4年9ヶ月</v>
          </cell>
          <cell r="AQ33">
            <v>27622</v>
          </cell>
          <cell r="AR33">
            <v>50</v>
          </cell>
          <cell r="AS33" t="str">
            <v>横浜市南区別所中里台２４番６号メゾンドアンドレスC２０２号</v>
          </cell>
          <cell r="AT33" t="str">
            <v>横浜市南区</v>
          </cell>
          <cell r="AU33" t="str">
            <v>別所中里台２４番６号メゾンドアンドレスC２０２号</v>
          </cell>
          <cell r="AV33" t="str">
            <v>232-0065</v>
          </cell>
        </row>
        <row r="34">
          <cell r="A34" t="str">
            <v>もり</v>
          </cell>
          <cell r="B34" t="str">
            <v>stb-002</v>
          </cell>
          <cell r="C34">
            <v>5</v>
          </cell>
          <cell r="D34" t="str">
            <v>森　君子</v>
          </cell>
          <cell r="E34" t="str">
            <v>合人社高島橋ビル</v>
          </cell>
        </row>
        <row r="34">
          <cell r="L34">
            <v>5</v>
          </cell>
          <cell r="M34">
            <v>5</v>
          </cell>
        </row>
        <row r="34">
          <cell r="T34" t="str">
            <v>8:00～11:00</v>
          </cell>
        </row>
        <row r="34">
          <cell r="AA34">
            <v>3</v>
          </cell>
        </row>
        <row r="34">
          <cell r="AH34">
            <v>1225</v>
          </cell>
        </row>
        <row r="34">
          <cell r="AM34" t="str">
            <v>甲</v>
          </cell>
        </row>
        <row r="34">
          <cell r="AO34">
            <v>42430</v>
          </cell>
          <cell r="AP34" t="str">
            <v>10年0ヶ月</v>
          </cell>
          <cell r="AQ34">
            <v>17600</v>
          </cell>
          <cell r="AR34">
            <v>78</v>
          </cell>
          <cell r="AS34" t="str">
            <v>横浜市西区境之谷１１３番地</v>
          </cell>
          <cell r="AT34" t="str">
            <v>横浜市西区</v>
          </cell>
          <cell r="AU34" t="str">
            <v>境之谷１１３番地</v>
          </cell>
          <cell r="AV34" t="str">
            <v>220-0054</v>
          </cell>
        </row>
        <row r="35">
          <cell r="A35" t="str">
            <v>ほんだ</v>
          </cell>
          <cell r="B35" t="str">
            <v>stb-004</v>
          </cell>
          <cell r="C35">
            <v>5</v>
          </cell>
          <cell r="D35" t="str">
            <v>本多　政子</v>
          </cell>
          <cell r="E35" t="str">
            <v>合人社高島橋ビル</v>
          </cell>
        </row>
        <row r="35">
          <cell r="L35">
            <v>5</v>
          </cell>
          <cell r="M35">
            <v>5</v>
          </cell>
        </row>
        <row r="35">
          <cell r="T35" t="str">
            <v>14:00～17:00</v>
          </cell>
        </row>
        <row r="35">
          <cell r="AA35">
            <v>3</v>
          </cell>
        </row>
        <row r="35">
          <cell r="AH35">
            <v>1225</v>
          </cell>
        </row>
        <row r="35">
          <cell r="AM35" t="str">
            <v>甲</v>
          </cell>
        </row>
        <row r="35">
          <cell r="AO35">
            <v>44109</v>
          </cell>
          <cell r="AP35" t="str">
            <v>5年5ヶ月</v>
          </cell>
          <cell r="AQ35">
            <v>21094</v>
          </cell>
          <cell r="AR35">
            <v>68</v>
          </cell>
          <cell r="AS35" t="str">
            <v>横浜市西区戸部町２丁目４０番　 １階</v>
          </cell>
          <cell r="AT35" t="str">
            <v>横浜市西区</v>
          </cell>
          <cell r="AU35" t="str">
            <v>戸部町２丁目４０番　 １階</v>
          </cell>
          <cell r="AV35" t="str">
            <v>220-0042</v>
          </cell>
        </row>
        <row r="36">
          <cell r="A36" t="str">
            <v>こうだ</v>
          </cell>
          <cell r="B36" t="str">
            <v>stb-005</v>
          </cell>
          <cell r="C36">
            <v>2</v>
          </cell>
          <cell r="D36" t="str">
            <v>香田　優</v>
          </cell>
          <cell r="E36" t="str">
            <v>合人社高島橋ビル</v>
          </cell>
        </row>
        <row r="36">
          <cell r="L36">
            <v>1</v>
          </cell>
          <cell r="M36">
            <v>1</v>
          </cell>
        </row>
        <row r="36">
          <cell r="T36" t="str">
            <v>6:30～8:30</v>
          </cell>
        </row>
        <row r="36">
          <cell r="AA36">
            <v>2</v>
          </cell>
        </row>
        <row r="36">
          <cell r="AH36">
            <v>1300</v>
          </cell>
        </row>
        <row r="36">
          <cell r="AM36" t="str">
            <v>乙</v>
          </cell>
        </row>
        <row r="36">
          <cell r="AO36">
            <v>45504</v>
          </cell>
          <cell r="AP36" t="str">
            <v>1年7ヶ月</v>
          </cell>
          <cell r="AQ36">
            <v>27647</v>
          </cell>
          <cell r="AR36">
            <v>50</v>
          </cell>
          <cell r="AS36" t="str">
            <v>鎌倉市佐助一丁目７番１　ルザ鎌倉３０２号</v>
          </cell>
          <cell r="AT36" t="str">
            <v>鎌倉市</v>
          </cell>
          <cell r="AU36" t="str">
            <v>佐助一丁目７番１　ルザ鎌倉３０２号</v>
          </cell>
          <cell r="AV36" t="str">
            <v>248-0017</v>
          </cell>
        </row>
        <row r="37">
          <cell r="A37" t="str">
            <v>あさの</v>
          </cell>
          <cell r="B37" t="str">
            <v>stb-007</v>
          </cell>
          <cell r="C37">
            <v>2</v>
          </cell>
          <cell r="D37" t="str">
            <v>浅野　芳廣</v>
          </cell>
          <cell r="E37" t="str">
            <v>合人社高島橋ビル</v>
          </cell>
        </row>
        <row r="37">
          <cell r="L37">
            <v>2</v>
          </cell>
          <cell r="M37">
            <v>2</v>
          </cell>
        </row>
        <row r="37">
          <cell r="T37" t="str">
            <v>6:30～8:30</v>
          </cell>
        </row>
        <row r="37">
          <cell r="AA37">
            <v>2</v>
          </cell>
        </row>
        <row r="37">
          <cell r="AH37">
            <v>1300</v>
          </cell>
        </row>
        <row r="37">
          <cell r="AM37" t="str">
            <v>甲</v>
          </cell>
        </row>
        <row r="37">
          <cell r="AO37">
            <v>45819</v>
          </cell>
          <cell r="AP37" t="str">
            <v>0年9ヶ月</v>
          </cell>
          <cell r="AQ37">
            <v>17591</v>
          </cell>
          <cell r="AR37">
            <v>78</v>
          </cell>
          <cell r="AS37" t="str">
            <v>横浜市西区東久保町１６ー３１</v>
          </cell>
          <cell r="AT37" t="str">
            <v>横浜市西区</v>
          </cell>
          <cell r="AU37" t="str">
            <v>東久保町１６ー３１</v>
          </cell>
          <cell r="AV37" t="str">
            <v>248-0017</v>
          </cell>
        </row>
        <row r="38">
          <cell r="A38" t="str">
            <v>かさい</v>
          </cell>
          <cell r="B38" t="str">
            <v>sn7-005</v>
          </cell>
          <cell r="C38">
            <v>5</v>
          </cell>
          <cell r="D38" t="str">
            <v>葛西　優子</v>
          </cell>
          <cell r="E38" t="str">
            <v>合人社横浜日本大通7</v>
          </cell>
          <cell r="F38" t="str">
            <v>合人社横浜日本大通7</v>
          </cell>
        </row>
        <row r="38">
          <cell r="L38">
            <v>6</v>
          </cell>
          <cell r="M38">
            <v>5</v>
          </cell>
          <cell r="N38">
            <v>1</v>
          </cell>
        </row>
        <row r="38">
          <cell r="T38" t="str">
            <v>7:00～15:00</v>
          </cell>
          <cell r="U38" t="str">
            <v>11:00～15:00</v>
          </cell>
        </row>
        <row r="38">
          <cell r="AA38">
            <v>7</v>
          </cell>
          <cell r="AB38">
            <v>4</v>
          </cell>
        </row>
        <row r="38">
          <cell r="AH38">
            <v>1225</v>
          </cell>
        </row>
        <row r="38">
          <cell r="AM38" t="str">
            <v>甲</v>
          </cell>
          <cell r="AN38" t="str">
            <v>加入・健保</v>
          </cell>
          <cell r="AO38">
            <v>43064</v>
          </cell>
          <cell r="AP38" t="str">
            <v>8年3ヶ月</v>
          </cell>
          <cell r="AQ38">
            <v>19151</v>
          </cell>
          <cell r="AR38">
            <v>73</v>
          </cell>
          <cell r="AS38" t="str">
            <v>横浜市瀬谷区瀬谷町４７番１上瀬谷住宅２棟４０５号</v>
          </cell>
          <cell r="AT38" t="str">
            <v>横浜市瀬谷区</v>
          </cell>
          <cell r="AU38" t="str">
            <v>瀬谷町４７番１上瀬谷住宅２棟４０５号</v>
          </cell>
          <cell r="AV38" t="str">
            <v>246-0006</v>
          </cell>
        </row>
        <row r="39">
          <cell r="A39" t="str">
            <v>たかしま</v>
          </cell>
          <cell r="B39" t="str">
            <v>sn7-002</v>
          </cell>
          <cell r="C39">
            <v>3</v>
          </cell>
          <cell r="D39" t="str">
            <v>高島　英雄</v>
          </cell>
          <cell r="E39" t="str">
            <v>合人社横浜日本大通7</v>
          </cell>
        </row>
        <row r="39">
          <cell r="L39">
            <v>3</v>
          </cell>
          <cell r="M39">
            <v>3</v>
          </cell>
        </row>
        <row r="39">
          <cell r="T39" t="str">
            <v>7:00～11:00</v>
          </cell>
        </row>
        <row r="39">
          <cell r="AA39">
            <v>4</v>
          </cell>
        </row>
        <row r="39">
          <cell r="AH39">
            <v>1225</v>
          </cell>
        </row>
        <row r="39">
          <cell r="AM39" t="str">
            <v>甲</v>
          </cell>
        </row>
        <row r="39">
          <cell r="AO39">
            <v>43199</v>
          </cell>
          <cell r="AP39" t="str">
            <v>7年11ヶ月</v>
          </cell>
          <cell r="AQ39">
            <v>18200</v>
          </cell>
          <cell r="AR39">
            <v>76</v>
          </cell>
          <cell r="AS39" t="str">
            <v>横浜市神奈川区新子安１丁目２７番１４－５０４号</v>
          </cell>
          <cell r="AT39" t="str">
            <v>横浜市神奈川区</v>
          </cell>
          <cell r="AU39" t="str">
            <v>新子安１丁目２７番１４－５０４号</v>
          </cell>
          <cell r="AV39" t="str">
            <v>221-0013</v>
          </cell>
        </row>
        <row r="40">
          <cell r="A40" t="str">
            <v>はやし</v>
          </cell>
          <cell r="B40" t="str">
            <v>sn7-001</v>
          </cell>
          <cell r="C40">
            <v>3</v>
          </cell>
          <cell r="D40" t="str">
            <v>林　光子</v>
          </cell>
          <cell r="E40" t="str">
            <v>合人社横浜日本大通7</v>
          </cell>
        </row>
        <row r="40">
          <cell r="L40">
            <v>4</v>
          </cell>
          <cell r="M40">
            <v>4</v>
          </cell>
        </row>
        <row r="40">
          <cell r="T40" t="str">
            <v>7:00～11:00</v>
          </cell>
        </row>
        <row r="40">
          <cell r="AA40">
            <v>4</v>
          </cell>
        </row>
        <row r="40">
          <cell r="AH40">
            <v>1225</v>
          </cell>
        </row>
        <row r="40">
          <cell r="AM40" t="str">
            <v>甲</v>
          </cell>
        </row>
        <row r="40">
          <cell r="AO40">
            <v>43650</v>
          </cell>
          <cell r="AP40" t="str">
            <v>6年8ヶ月</v>
          </cell>
          <cell r="AQ40">
            <v>20069</v>
          </cell>
          <cell r="AR40">
            <v>71</v>
          </cell>
          <cell r="AS40" t="str">
            <v>横浜市中区海岸通５丁目２５番２シャレール海岸通８１４</v>
          </cell>
          <cell r="AT40" t="str">
            <v>横浜市中区</v>
          </cell>
          <cell r="AU40" t="str">
            <v>海岸通５丁目２５番２シャレール海岸通８１４</v>
          </cell>
          <cell r="AV40" t="str">
            <v>231-0002</v>
          </cell>
        </row>
        <row r="41">
          <cell r="A41" t="str">
            <v>わたなべ</v>
          </cell>
          <cell r="B41" t="str">
            <v>sn7-009</v>
          </cell>
          <cell r="C41">
            <v>5</v>
          </cell>
          <cell r="D41" t="str">
            <v>渡邊　秀樹</v>
          </cell>
          <cell r="E41" t="str">
            <v>合人社横浜日本大通7</v>
          </cell>
        </row>
        <row r="41">
          <cell r="L41">
            <v>6</v>
          </cell>
          <cell r="M41">
            <v>6</v>
          </cell>
        </row>
        <row r="41">
          <cell r="T41" t="str">
            <v>7:00～11:00</v>
          </cell>
        </row>
        <row r="41">
          <cell r="AA41">
            <v>4</v>
          </cell>
        </row>
        <row r="41">
          <cell r="AH41">
            <v>1225</v>
          </cell>
        </row>
        <row r="41">
          <cell r="AM41" t="str">
            <v>甲</v>
          </cell>
          <cell r="AN41" t="str">
            <v>加入</v>
          </cell>
          <cell r="AO41">
            <v>45692</v>
          </cell>
          <cell r="AP41" t="str">
            <v>1年1ヶ月</v>
          </cell>
          <cell r="AQ41">
            <v>27174</v>
          </cell>
          <cell r="AR41">
            <v>51</v>
          </cell>
          <cell r="AS41" t="str">
            <v>横浜市栄区本郷台３丁目２３ー１７</v>
          </cell>
          <cell r="AT41" t="str">
            <v>横浜市栄区</v>
          </cell>
          <cell r="AU41" t="str">
            <v>本郷台３丁目２３ー１７</v>
          </cell>
          <cell r="AV41" t="str">
            <v>234-0057</v>
          </cell>
        </row>
        <row r="42">
          <cell r="A42" t="str">
            <v>きむら</v>
          </cell>
          <cell r="B42" t="str">
            <v>sn7-010</v>
          </cell>
          <cell r="C42">
            <v>5</v>
          </cell>
          <cell r="D42" t="str">
            <v>木村　貴之</v>
          </cell>
          <cell r="E42" t="str">
            <v>合人社横浜日本大通7</v>
          </cell>
        </row>
        <row r="42">
          <cell r="L42">
            <v>6</v>
          </cell>
          <cell r="M42">
            <v>6</v>
          </cell>
        </row>
        <row r="42">
          <cell r="T42" t="str">
            <v>7:00～11:00</v>
          </cell>
        </row>
        <row r="42">
          <cell r="AA42">
            <v>4</v>
          </cell>
        </row>
        <row r="42">
          <cell r="AH42">
            <v>1225</v>
          </cell>
        </row>
        <row r="42">
          <cell r="AM42" t="str">
            <v>甲</v>
          </cell>
          <cell r="AN42" t="str">
            <v>加入</v>
          </cell>
          <cell r="AO42">
            <v>45937</v>
          </cell>
          <cell r="AP42" t="str">
            <v>0年5ヶ月</v>
          </cell>
          <cell r="AQ42">
            <v>26358</v>
          </cell>
          <cell r="AR42">
            <v>54</v>
          </cell>
          <cell r="AS42" t="str">
            <v>横浜市中区扇町１丁目２番地２ Gー１ビル４０５</v>
          </cell>
          <cell r="AT42" t="str">
            <v>横浜市中区</v>
          </cell>
          <cell r="AU42" t="str">
            <v>扇町１丁目２番地２ Gー１ビル４０５</v>
          </cell>
          <cell r="AV42" t="str">
            <v>231-0027</v>
          </cell>
        </row>
        <row r="43">
          <cell r="A43" t="str">
            <v>あべ</v>
          </cell>
          <cell r="B43" t="str">
            <v>f1d-003</v>
          </cell>
          <cell r="C43">
            <v>4</v>
          </cell>
          <cell r="D43" t="str">
            <v>阿部　時枝</v>
          </cell>
          <cell r="E43" t="str">
            <v>東横フェスタ1</v>
          </cell>
          <cell r="F43" t="str">
            <v>東横フェスタ3</v>
          </cell>
        </row>
        <row r="43">
          <cell r="L43">
            <v>4</v>
          </cell>
          <cell r="M43">
            <v>4</v>
          </cell>
          <cell r="N43">
            <v>3</v>
          </cell>
        </row>
        <row r="43">
          <cell r="T43" t="str">
            <v>16:00～20:00</v>
          </cell>
          <cell r="U43" t="str">
            <v>12:00～15:00</v>
          </cell>
        </row>
        <row r="43">
          <cell r="AA43">
            <v>4</v>
          </cell>
          <cell r="AB43">
            <v>3</v>
          </cell>
        </row>
        <row r="43">
          <cell r="AH43">
            <v>1225</v>
          </cell>
        </row>
        <row r="43">
          <cell r="AM43" t="str">
            <v>甲</v>
          </cell>
          <cell r="AN43" t="str">
            <v>加入</v>
          </cell>
          <cell r="AO43">
            <v>41688</v>
          </cell>
          <cell r="AP43" t="str">
            <v>12年0ヶ月</v>
          </cell>
          <cell r="AQ43">
            <v>17827</v>
          </cell>
          <cell r="AR43">
            <v>77</v>
          </cell>
          <cell r="AS43" t="str">
            <v>横浜市泉区上飯田町２６７０番地　県営いちょう団地１８棟２０１号</v>
          </cell>
          <cell r="AT43" t="str">
            <v>横浜市泉区</v>
          </cell>
          <cell r="AU43" t="str">
            <v>上飯田町２６７０番地　県営いちょう団地１８棟２０１号</v>
          </cell>
          <cell r="AV43" t="str">
            <v>245-0018</v>
          </cell>
        </row>
        <row r="44">
          <cell r="A44" t="str">
            <v>はせがわ</v>
          </cell>
          <cell r="B44" t="str">
            <v>f1d-002</v>
          </cell>
          <cell r="C44">
            <v>4</v>
          </cell>
          <cell r="D44" t="str">
            <v>長谷川　暁子</v>
          </cell>
          <cell r="E44" t="str">
            <v>東横フェスタ1</v>
          </cell>
          <cell r="F44" t="str">
            <v>東横フェスタ1</v>
          </cell>
        </row>
        <row r="44">
          <cell r="L44">
            <v>4</v>
          </cell>
          <cell r="M44">
            <v>4</v>
          </cell>
          <cell r="N44">
            <v>2</v>
          </cell>
        </row>
        <row r="44">
          <cell r="T44" t="str">
            <v>12:00～15:00</v>
          </cell>
          <cell r="U44" t="str">
            <v>16:00～20:00</v>
          </cell>
        </row>
        <row r="44">
          <cell r="AA44">
            <v>3</v>
          </cell>
          <cell r="AB44">
            <v>4</v>
          </cell>
        </row>
        <row r="44">
          <cell r="AH44">
            <v>1225</v>
          </cell>
        </row>
        <row r="44">
          <cell r="AM44" t="str">
            <v>甲</v>
          </cell>
        </row>
        <row r="44">
          <cell r="AO44">
            <v>39687</v>
          </cell>
          <cell r="AP44" t="str">
            <v>17年6ヶ月</v>
          </cell>
          <cell r="AQ44">
            <v>17513</v>
          </cell>
          <cell r="AR44">
            <v>78</v>
          </cell>
          <cell r="AS44" t="str">
            <v>横浜市戸塚区戸塚町４５３６番地１８　戸塚富士見丘ハイツB棟１０４号</v>
          </cell>
          <cell r="AT44" t="str">
            <v>横浜市戸塚区</v>
          </cell>
          <cell r="AU44" t="str">
            <v>戸塚町４５３６番地１８　戸塚富士見丘ハイツB棟１０４号</v>
          </cell>
          <cell r="AV44" t="str">
            <v>244-0003</v>
          </cell>
        </row>
        <row r="45">
          <cell r="A45" t="str">
            <v>ひらい</v>
          </cell>
          <cell r="B45" t="str">
            <v>f1d-014</v>
          </cell>
          <cell r="C45">
            <v>2</v>
          </cell>
          <cell r="D45" t="str">
            <v>平井　圭子</v>
          </cell>
          <cell r="E45" t="str">
            <v>東横フェスタ1</v>
          </cell>
        </row>
        <row r="45">
          <cell r="L45">
            <v>2</v>
          </cell>
          <cell r="M45">
            <v>2</v>
          </cell>
        </row>
        <row r="45">
          <cell r="T45" t="str">
            <v>12:00～15:00</v>
          </cell>
        </row>
        <row r="45">
          <cell r="AA45">
            <v>3</v>
          </cell>
        </row>
        <row r="45">
          <cell r="AH45">
            <v>1225</v>
          </cell>
        </row>
        <row r="45">
          <cell r="AM45" t="str">
            <v>甲</v>
          </cell>
        </row>
        <row r="45">
          <cell r="AO45">
            <v>41770</v>
          </cell>
          <cell r="AP45" t="str">
            <v>11年10ヶ月</v>
          </cell>
          <cell r="AQ45">
            <v>16051</v>
          </cell>
          <cell r="AR45">
            <v>82</v>
          </cell>
          <cell r="AS45" t="str">
            <v>横浜市戸塚区秋葉町５４６番地２　ピアパレス戸塚２０５号</v>
          </cell>
          <cell r="AT45" t="str">
            <v>横浜市戸塚区</v>
          </cell>
          <cell r="AU45" t="str">
            <v>秋葉町５４６番地２　ピアパレス戸塚２０５号</v>
          </cell>
          <cell r="AV45" t="str">
            <v>245-0052</v>
          </cell>
        </row>
        <row r="46">
          <cell r="A46" t="str">
            <v>かじやま</v>
          </cell>
          <cell r="B46" t="str">
            <v>f1n-005</v>
          </cell>
          <cell r="C46">
            <v>3</v>
          </cell>
          <cell r="D46" t="str">
            <v>梶山　かよ子</v>
          </cell>
          <cell r="E46" t="str">
            <v>東横フェスタ1</v>
          </cell>
        </row>
        <row r="46">
          <cell r="L46">
            <v>3</v>
          </cell>
          <cell r="M46">
            <v>3</v>
          </cell>
        </row>
        <row r="46">
          <cell r="T46" t="str">
            <v>23:00～24:30</v>
          </cell>
        </row>
        <row r="46">
          <cell r="AA46">
            <v>1.5</v>
          </cell>
        </row>
        <row r="46">
          <cell r="AH46">
            <v>3000</v>
          </cell>
        </row>
        <row r="46">
          <cell r="AL46">
            <v>5000</v>
          </cell>
          <cell r="AM46" t="str">
            <v>乙</v>
          </cell>
        </row>
        <row r="46">
          <cell r="AO46">
            <v>44044</v>
          </cell>
          <cell r="AP46" t="str">
            <v>5年7ヶ月</v>
          </cell>
          <cell r="AQ46">
            <v>21824</v>
          </cell>
          <cell r="AR46">
            <v>66</v>
          </cell>
          <cell r="AS46" t="str">
            <v>横浜市戸塚区戸塚町２０２２番地１　ﾗｲｵﾝｽﾞｶﾞｰﾃﾞﾝﾋﾙｽﾞ戸塚４０６号</v>
          </cell>
          <cell r="AT46" t="str">
            <v>横浜市戸塚区</v>
          </cell>
          <cell r="AU46" t="str">
            <v>戸塚町２０２２番地１　ﾗｲｵﾝｽﾞｶﾞｰﾃﾞﾝﾋﾙｽﾞ戸塚４０６号</v>
          </cell>
          <cell r="AV46" t="str">
            <v>244-0003</v>
          </cell>
        </row>
        <row r="46">
          <cell r="BB46" t="str">
            <v>尚、リーダー手当として  月</v>
          </cell>
          <cell r="BC46" t="str">
            <v>を加算する。</v>
          </cell>
        </row>
        <row r="47">
          <cell r="A47" t="str">
            <v>ふじた</v>
          </cell>
          <cell r="B47" t="str">
            <v>f1n-006</v>
          </cell>
          <cell r="C47">
            <v>3</v>
          </cell>
          <cell r="D47" t="str">
            <v>藤田  和枝</v>
          </cell>
          <cell r="E47" t="str">
            <v>東横フェスタ1</v>
          </cell>
          <cell r="F47" t="str">
            <v>東横フェスタ1</v>
          </cell>
        </row>
        <row r="47">
          <cell r="L47">
            <v>5</v>
          </cell>
          <cell r="M47">
            <v>3</v>
          </cell>
          <cell r="N47">
            <v>2</v>
          </cell>
        </row>
        <row r="47">
          <cell r="T47" t="str">
            <v>23:00～24:30</v>
          </cell>
          <cell r="U47" t="str">
            <v>16:00～20:00</v>
          </cell>
        </row>
        <row r="47">
          <cell r="AA47">
            <v>1.5</v>
          </cell>
          <cell r="AB47">
            <v>4</v>
          </cell>
        </row>
        <row r="47">
          <cell r="AH47">
            <v>3000</v>
          </cell>
          <cell r="AI47">
            <v>1225</v>
          </cell>
        </row>
        <row r="47">
          <cell r="AM47" t="str">
            <v>甲</v>
          </cell>
        </row>
        <row r="47">
          <cell r="AO47">
            <v>44044</v>
          </cell>
          <cell r="AP47" t="str">
            <v>5年7ヶ月</v>
          </cell>
          <cell r="AQ47">
            <v>18185</v>
          </cell>
          <cell r="AR47">
            <v>76</v>
          </cell>
          <cell r="AS47" t="str">
            <v>横浜市戸塚区汲沢一丁目１１番５　４０１号　</v>
          </cell>
          <cell r="AT47" t="str">
            <v>横浜市戸塚区</v>
          </cell>
          <cell r="AU47" t="str">
            <v>汲沢一丁目１１番５　４０１号</v>
          </cell>
          <cell r="AV47" t="str">
            <v>245-0061</v>
          </cell>
        </row>
        <row r="48">
          <cell r="A48" t="str">
            <v>まつおか</v>
          </cell>
          <cell r="B48" t="str">
            <v>f1n-007</v>
          </cell>
          <cell r="C48">
            <v>2</v>
          </cell>
          <cell r="D48" t="str">
            <v>松岡   晃</v>
          </cell>
          <cell r="E48" t="str">
            <v>東横フェスタ1</v>
          </cell>
        </row>
        <row r="48">
          <cell r="L48">
            <v>2</v>
          </cell>
          <cell r="M48">
            <v>2</v>
          </cell>
        </row>
        <row r="48">
          <cell r="T48" t="str">
            <v>23:00～24:30</v>
          </cell>
        </row>
        <row r="48">
          <cell r="AA48">
            <v>1.5</v>
          </cell>
        </row>
        <row r="48">
          <cell r="AH48">
            <v>3000</v>
          </cell>
        </row>
        <row r="48">
          <cell r="AM48" t="str">
            <v>乙</v>
          </cell>
        </row>
        <row r="48">
          <cell r="AO48">
            <v>44044</v>
          </cell>
          <cell r="AP48" t="str">
            <v>5年7ヶ月</v>
          </cell>
          <cell r="AQ48">
            <v>22351</v>
          </cell>
          <cell r="AR48">
            <v>65</v>
          </cell>
          <cell r="AS48" t="str">
            <v>横浜市港南区下永谷三丁目２４番４号　中永谷ハイム５　１０１</v>
          </cell>
          <cell r="AT48" t="str">
            <v>横浜市港南区</v>
          </cell>
          <cell r="AU48" t="str">
            <v>下永谷三丁目２４番４号　中永谷ハイム５　１０１</v>
          </cell>
          <cell r="AV48" t="str">
            <v>233-0016</v>
          </cell>
        </row>
        <row r="49">
          <cell r="A49" t="str">
            <v>のがみ</v>
          </cell>
          <cell r="B49" t="str">
            <v>f1n-008</v>
          </cell>
          <cell r="C49">
            <v>3</v>
          </cell>
          <cell r="D49" t="str">
            <v>野神　勝志</v>
          </cell>
          <cell r="E49" t="str">
            <v>東横フェスタ1</v>
          </cell>
        </row>
        <row r="49">
          <cell r="L49">
            <v>3</v>
          </cell>
          <cell r="M49">
            <v>3</v>
          </cell>
        </row>
        <row r="49">
          <cell r="T49" t="str">
            <v>23:00～24:30</v>
          </cell>
        </row>
        <row r="49">
          <cell r="AA49">
            <v>1.5</v>
          </cell>
        </row>
        <row r="49">
          <cell r="AH49">
            <v>3000</v>
          </cell>
        </row>
        <row r="49">
          <cell r="AM49" t="str">
            <v>乙</v>
          </cell>
        </row>
        <row r="49">
          <cell r="AO49">
            <v>44044</v>
          </cell>
          <cell r="AP49" t="str">
            <v>5年7ヶ月</v>
          </cell>
          <cell r="AQ49">
            <v>27039</v>
          </cell>
          <cell r="AR49">
            <v>52</v>
          </cell>
          <cell r="AS49" t="str">
            <v>横浜市泉区和泉が丘二丁目９番２４号</v>
          </cell>
          <cell r="AT49" t="str">
            <v>横浜市泉区</v>
          </cell>
          <cell r="AU49" t="str">
            <v>和泉が丘二丁目９番２４号</v>
          </cell>
          <cell r="AV49" t="str">
            <v>245-0022</v>
          </cell>
        </row>
        <row r="50">
          <cell r="A50" t="str">
            <v>きのした</v>
          </cell>
          <cell r="B50" t="str">
            <v>f1n-009</v>
          </cell>
          <cell r="C50">
            <v>3</v>
          </cell>
          <cell r="D50" t="str">
            <v>木下　成行</v>
          </cell>
          <cell r="E50" t="str">
            <v>東横フェスタ1</v>
          </cell>
        </row>
        <row r="50">
          <cell r="L50">
            <v>3</v>
          </cell>
          <cell r="M50">
            <v>3</v>
          </cell>
        </row>
        <row r="50">
          <cell r="T50" t="str">
            <v>23:00～24:30</v>
          </cell>
        </row>
        <row r="50">
          <cell r="AA50">
            <v>1.5</v>
          </cell>
        </row>
        <row r="50">
          <cell r="AH50">
            <v>2700</v>
          </cell>
        </row>
        <row r="50">
          <cell r="AM50" t="str">
            <v>乙</v>
          </cell>
        </row>
        <row r="50">
          <cell r="AO50">
            <v>44044</v>
          </cell>
          <cell r="AP50" t="str">
            <v>5年7ヶ月</v>
          </cell>
          <cell r="AQ50">
            <v>27126</v>
          </cell>
          <cell r="AR50">
            <v>51</v>
          </cell>
          <cell r="AS50" t="str">
            <v>綾瀬市深谷中４丁目２５番９号</v>
          </cell>
          <cell r="AT50" t="str">
            <v>綾瀬市</v>
          </cell>
          <cell r="AU50" t="str">
            <v>深谷中４丁目２５番９号</v>
          </cell>
          <cell r="AV50" t="str">
            <v>252-1107</v>
          </cell>
        </row>
        <row r="51">
          <cell r="A51" t="str">
            <v>ふゆき</v>
          </cell>
          <cell r="B51" t="str">
            <v>f1n-011</v>
          </cell>
          <cell r="C51">
            <v>2</v>
          </cell>
          <cell r="D51" t="str">
            <v>冬木　克典</v>
          </cell>
          <cell r="E51" t="str">
            <v>東横フェスタ1</v>
          </cell>
        </row>
        <row r="51">
          <cell r="L51">
            <v>2</v>
          </cell>
          <cell r="M51">
            <v>2</v>
          </cell>
        </row>
        <row r="51">
          <cell r="T51" t="str">
            <v>23:00～24:30</v>
          </cell>
        </row>
        <row r="51">
          <cell r="AA51">
            <v>1.5</v>
          </cell>
        </row>
        <row r="51">
          <cell r="AH51">
            <v>2700</v>
          </cell>
        </row>
        <row r="51">
          <cell r="AM51" t="str">
            <v>甲</v>
          </cell>
        </row>
        <row r="51">
          <cell r="AO51">
            <v>45220</v>
          </cell>
          <cell r="AP51" t="str">
            <v>2年4ヶ月</v>
          </cell>
          <cell r="AQ51">
            <v>26525</v>
          </cell>
          <cell r="AR51">
            <v>53</v>
          </cell>
          <cell r="AS51" t="str">
            <v>横浜市戸塚区戸塚町３４４０番地１ビューテラス戸塚１１２号室</v>
          </cell>
        </row>
        <row r="51">
          <cell r="AU51" t="str">
            <v>横浜市戸塚区戸塚町３４４０番地１ビューテラス戸塚１１２号室</v>
          </cell>
          <cell r="AV51" t="str">
            <v>244-0003</v>
          </cell>
        </row>
        <row r="52">
          <cell r="A52" t="str">
            <v>うちお</v>
          </cell>
          <cell r="B52" t="str">
            <v>f2d-001</v>
          </cell>
          <cell r="C52">
            <v>5</v>
          </cell>
          <cell r="D52" t="str">
            <v>内尾　直美</v>
          </cell>
          <cell r="E52" t="str">
            <v>東横フェスタ2</v>
          </cell>
        </row>
        <row r="52">
          <cell r="L52">
            <v>6</v>
          </cell>
          <cell r="M52">
            <v>6</v>
          </cell>
        </row>
        <row r="52">
          <cell r="T52" t="str">
            <v>9:30～15:00</v>
          </cell>
        </row>
        <row r="52">
          <cell r="AA52">
            <v>4.5</v>
          </cell>
        </row>
        <row r="52">
          <cell r="AH52">
            <v>1225</v>
          </cell>
        </row>
        <row r="52">
          <cell r="AL52">
            <v>5000</v>
          </cell>
          <cell r="AM52" t="str">
            <v>甲</v>
          </cell>
          <cell r="AN52" t="str">
            <v>加入・健保</v>
          </cell>
          <cell r="AO52">
            <v>39824</v>
          </cell>
          <cell r="AP52" t="str">
            <v>17年2ヶ月</v>
          </cell>
          <cell r="AQ52">
            <v>18682</v>
          </cell>
          <cell r="AR52">
            <v>75</v>
          </cell>
          <cell r="AS52" t="str">
            <v>神奈川県茅ヶ崎市赤松町６丁目６２番ｱﾍﾞｰﾆｭ湘南２０１号</v>
          </cell>
          <cell r="AT52" t="str">
            <v>茅ヶ崎市赤松町</v>
          </cell>
          <cell r="AU52" t="str">
            <v>市赤松町６丁目６２番ｱﾍﾞｰﾆｭ湘南２０１号</v>
          </cell>
          <cell r="AV52" t="str">
            <v>253-0013</v>
          </cell>
        </row>
        <row r="52">
          <cell r="BB52" t="str">
            <v>尚、リーダー手当として　月</v>
          </cell>
          <cell r="BC52" t="str">
            <v>を加算する。</v>
          </cell>
        </row>
        <row r="53">
          <cell r="A53" t="str">
            <v>おおさか</v>
          </cell>
          <cell r="B53" t="str">
            <v>f2d-002</v>
          </cell>
          <cell r="C53">
            <v>2</v>
          </cell>
          <cell r="D53" t="str">
            <v>大阪　淑子</v>
          </cell>
          <cell r="E53" t="str">
            <v>東横フェスタ2</v>
          </cell>
          <cell r="F53" t="str">
            <v>東横フェスタ2</v>
          </cell>
        </row>
        <row r="53">
          <cell r="L53">
            <v>2</v>
          </cell>
          <cell r="M53">
            <v>1</v>
          </cell>
          <cell r="N53">
            <v>1</v>
          </cell>
        </row>
        <row r="53">
          <cell r="T53" t="str">
            <v>9:30～15:00</v>
          </cell>
          <cell r="U53" t="str">
            <v>15:00～20:00</v>
          </cell>
        </row>
        <row r="53">
          <cell r="AA53">
            <v>4.5</v>
          </cell>
          <cell r="AB53">
            <v>5</v>
          </cell>
        </row>
        <row r="53">
          <cell r="AH53">
            <v>1225</v>
          </cell>
        </row>
        <row r="53">
          <cell r="AM53" t="str">
            <v>甲</v>
          </cell>
        </row>
        <row r="53">
          <cell r="AO53">
            <v>45515</v>
          </cell>
          <cell r="AP53" t="str">
            <v>1年7ヶ月</v>
          </cell>
          <cell r="AQ53">
            <v>16004</v>
          </cell>
          <cell r="AR53">
            <v>82</v>
          </cell>
          <cell r="AS53" t="str">
            <v>横浜市港南区野庭町７５９番３上永谷パークホームズ５０４号</v>
          </cell>
          <cell r="AT53" t="str">
            <v>横浜市港南区</v>
          </cell>
          <cell r="AU53" t="str">
            <v>野庭町７５９番３上永谷パークホームズ５０４号</v>
          </cell>
          <cell r="AV53" t="str">
            <v>234-0056</v>
          </cell>
        </row>
        <row r="54">
          <cell r="A54" t="str">
            <v>さとうし</v>
          </cell>
          <cell r="B54" t="str">
            <v>f2d-016</v>
          </cell>
        </row>
        <row r="54">
          <cell r="D54" t="str">
            <v>佐藤　静子</v>
          </cell>
          <cell r="E54" t="str">
            <v>東横フェスタ2</v>
          </cell>
        </row>
        <row r="54">
          <cell r="L54">
            <v>2</v>
          </cell>
        </row>
        <row r="54">
          <cell r="T54" t="str">
            <v>15:00～20:00</v>
          </cell>
        </row>
        <row r="54">
          <cell r="AA54">
            <v>5</v>
          </cell>
        </row>
        <row r="54">
          <cell r="AH54">
            <v>1225</v>
          </cell>
        </row>
        <row r="54">
          <cell r="AO54">
            <v>44611</v>
          </cell>
          <cell r="AP54" t="str">
            <v>4年0ヶ月</v>
          </cell>
          <cell r="AQ54">
            <v>17962</v>
          </cell>
          <cell r="AR54">
            <v>77</v>
          </cell>
          <cell r="AS54" t="str">
            <v>横浜市戸塚区柏尾町７５７番地　柏陽台アパート１３－３０１号</v>
          </cell>
          <cell r="AT54" t="str">
            <v>横浜市戸塚区</v>
          </cell>
          <cell r="AU54" t="str">
            <v>柏尾町７５７番地　柏陽台アパート１３－３０１号</v>
          </cell>
          <cell r="AV54" t="str">
            <v>244-0812</v>
          </cell>
        </row>
        <row r="55">
          <cell r="A55" t="str">
            <v>おしむら</v>
          </cell>
          <cell r="B55" t="str">
            <v>f2n-007</v>
          </cell>
          <cell r="C55">
            <v>5</v>
          </cell>
          <cell r="D55" t="str">
            <v>押村　喜代子</v>
          </cell>
          <cell r="E55" t="str">
            <v>東横フェスタ2</v>
          </cell>
          <cell r="F55" t="str">
            <v>東横フェスタ8 </v>
          </cell>
          <cell r="G55" t="str">
            <v>東横フェスタ8 </v>
          </cell>
          <cell r="H55" t="str">
            <v>サクラス戸塚</v>
          </cell>
          <cell r="I55" t="str">
            <v>甲の管理物件全般</v>
          </cell>
        </row>
        <row r="55">
          <cell r="L55">
            <v>5</v>
          </cell>
          <cell r="M55">
            <v>3</v>
          </cell>
          <cell r="N55">
            <v>2</v>
          </cell>
          <cell r="O55">
            <v>1</v>
          </cell>
          <cell r="P55">
            <v>2</v>
          </cell>
          <cell r="Q55">
            <v>8</v>
          </cell>
        </row>
        <row r="55">
          <cell r="T55" t="str">
            <v>23:00～24:30</v>
          </cell>
          <cell r="U55" t="str">
            <v>12:00～20:00</v>
          </cell>
          <cell r="V55" t="str">
            <v>16:00～20:00</v>
          </cell>
          <cell r="W55" t="str">
            <v>7:00～10:00</v>
          </cell>
          <cell r="X55" t="str">
            <v>日中作業</v>
          </cell>
          <cell r="Y55" t="str">
            <v>夜間作業</v>
          </cell>
        </row>
        <row r="55">
          <cell r="AA55">
            <v>1.5</v>
          </cell>
          <cell r="AB55">
            <v>7</v>
          </cell>
          <cell r="AC55">
            <v>4</v>
          </cell>
          <cell r="AD55">
            <v>3</v>
          </cell>
        </row>
        <row r="55">
          <cell r="AH55">
            <v>3000</v>
          </cell>
          <cell r="AI55">
            <v>1225</v>
          </cell>
          <cell r="AJ55">
            <v>1300</v>
          </cell>
          <cell r="AK55">
            <v>1600</v>
          </cell>
        </row>
        <row r="55">
          <cell r="AM55" t="str">
            <v>甲</v>
          </cell>
          <cell r="AN55" t="str">
            <v>加入・健保・介護・年金</v>
          </cell>
          <cell r="AO55">
            <v>40116</v>
          </cell>
          <cell r="AP55" t="str">
            <v>16年4ヶ月</v>
          </cell>
          <cell r="AQ55">
            <v>20884</v>
          </cell>
          <cell r="AR55">
            <v>69</v>
          </cell>
          <cell r="AS55" t="str">
            <v>横浜市戸塚区汲沢町１３３５番地３</v>
          </cell>
          <cell r="AT55" t="str">
            <v>横浜市戸塚区</v>
          </cell>
          <cell r="AU55" t="str">
            <v>汲沢町１３３５番地３</v>
          </cell>
          <cell r="AV55" t="str">
            <v>245-0062</v>
          </cell>
        </row>
        <row r="56">
          <cell r="A56" t="str">
            <v>ふくだあ</v>
          </cell>
          <cell r="B56" t="str">
            <v>f2n-004</v>
          </cell>
          <cell r="C56">
            <v>3</v>
          </cell>
          <cell r="D56" t="str">
            <v>福田　愛</v>
          </cell>
          <cell r="E56" t="str">
            <v>東横フェスタ2</v>
          </cell>
        </row>
        <row r="56">
          <cell r="L56">
            <v>3</v>
          </cell>
          <cell r="M56">
            <v>3</v>
          </cell>
        </row>
        <row r="56">
          <cell r="T56" t="str">
            <v>23:00～24:30</v>
          </cell>
        </row>
        <row r="56">
          <cell r="AA56">
            <v>1.5</v>
          </cell>
        </row>
        <row r="56">
          <cell r="AH56">
            <v>3000</v>
          </cell>
        </row>
        <row r="56">
          <cell r="AL56">
            <v>7500</v>
          </cell>
          <cell r="AM56" t="str">
            <v>乙</v>
          </cell>
        </row>
        <row r="56">
          <cell r="AO56">
            <v>44044</v>
          </cell>
          <cell r="AP56" t="str">
            <v>5年7ヶ月</v>
          </cell>
          <cell r="AQ56">
            <v>29779</v>
          </cell>
          <cell r="AR56">
            <v>44</v>
          </cell>
          <cell r="AS56" t="str">
            <v>横浜市戸塚区戸塚町４５３６番地１２ 戸塚富士見丘ハイツD棟５０１号</v>
          </cell>
          <cell r="AT56" t="str">
            <v>横浜市戸塚区</v>
          </cell>
          <cell r="AU56" t="str">
            <v>戸塚町４５３６番地１８戸塚富士見丘ハイツC－５０４</v>
          </cell>
          <cell r="AV56" t="str">
            <v>244-0003</v>
          </cell>
        </row>
        <row r="56">
          <cell r="BB56" t="str">
            <v>尚、リーダー手当として　月</v>
          </cell>
          <cell r="BC56" t="str">
            <v>を加算する。</v>
          </cell>
        </row>
        <row r="57">
          <cell r="A57" t="str">
            <v>うちやま</v>
          </cell>
          <cell r="B57" t="str">
            <v>f2n-006</v>
          </cell>
          <cell r="C57">
            <v>3</v>
          </cell>
          <cell r="D57" t="str">
            <v>内山　玲子</v>
          </cell>
          <cell r="E57" t="str">
            <v>東横フェスタ2</v>
          </cell>
        </row>
        <row r="57">
          <cell r="L57">
            <v>4</v>
          </cell>
          <cell r="M57">
            <v>4</v>
          </cell>
        </row>
        <row r="57">
          <cell r="T57" t="str">
            <v>23:00～24:30</v>
          </cell>
        </row>
        <row r="57">
          <cell r="AA57">
            <v>1.5</v>
          </cell>
        </row>
        <row r="57">
          <cell r="AH57">
            <v>3000</v>
          </cell>
        </row>
        <row r="57">
          <cell r="AM57" t="str">
            <v>甲</v>
          </cell>
        </row>
        <row r="57">
          <cell r="AO57">
            <v>44044</v>
          </cell>
          <cell r="AP57" t="str">
            <v>5年7ヶ月</v>
          </cell>
          <cell r="AQ57">
            <v>24496</v>
          </cell>
          <cell r="AR57">
            <v>59</v>
          </cell>
          <cell r="AS57" t="str">
            <v>横浜市戸塚区上矢部町３１８６鳥ヶ谷ハイツ１０３号　</v>
          </cell>
          <cell r="AT57" t="str">
            <v>横浜市戸塚区</v>
          </cell>
          <cell r="AU57" t="str">
            <v>上矢部町３１８６鳥ヶ谷ハイツ１０３号</v>
          </cell>
          <cell r="AV57" t="str">
            <v>245-0053</v>
          </cell>
        </row>
        <row r="58">
          <cell r="A58" t="str">
            <v>たかはしか</v>
          </cell>
          <cell r="B58" t="str">
            <v>f2n-013</v>
          </cell>
          <cell r="C58">
            <v>4</v>
          </cell>
          <cell r="D58" t="str">
            <v>高橋　和子</v>
          </cell>
          <cell r="E58" t="str">
            <v>東横フェスタ2</v>
          </cell>
        </row>
        <row r="58">
          <cell r="L58">
            <v>4</v>
          </cell>
          <cell r="M58">
            <v>4</v>
          </cell>
        </row>
        <row r="58">
          <cell r="T58" t="str">
            <v>23:00～24:30</v>
          </cell>
        </row>
        <row r="58">
          <cell r="AA58">
            <v>1.5</v>
          </cell>
        </row>
        <row r="58">
          <cell r="AH58">
            <v>2800</v>
          </cell>
        </row>
        <row r="58">
          <cell r="AM58" t="str">
            <v>甲</v>
          </cell>
        </row>
        <row r="58">
          <cell r="AO58">
            <v>44044</v>
          </cell>
          <cell r="AP58" t="str">
            <v>5年7ヶ月</v>
          </cell>
          <cell r="AQ58">
            <v>25063</v>
          </cell>
          <cell r="AR58">
            <v>57</v>
          </cell>
          <cell r="AS58" t="str">
            <v>横浜市泉区和泉が丘２丁目８番２６号</v>
          </cell>
          <cell r="AT58" t="str">
            <v>横浜市泉区</v>
          </cell>
          <cell r="AU58" t="str">
            <v>和泉が丘２丁目８番２６号</v>
          </cell>
          <cell r="AV58" t="str">
            <v>245-0022</v>
          </cell>
        </row>
        <row r="59">
          <cell r="A59" t="str">
            <v>こみね</v>
          </cell>
          <cell r="B59" t="str">
            <v>f2n-014</v>
          </cell>
          <cell r="C59">
            <v>2</v>
          </cell>
          <cell r="D59" t="str">
            <v>小峰　稔</v>
          </cell>
          <cell r="E59" t="str">
            <v>東横フェスタ2</v>
          </cell>
        </row>
        <row r="59">
          <cell r="L59">
            <v>4</v>
          </cell>
          <cell r="M59">
            <v>4</v>
          </cell>
        </row>
        <row r="59">
          <cell r="T59" t="str">
            <v>23:00～24:30</v>
          </cell>
        </row>
        <row r="59">
          <cell r="AA59">
            <v>1.5</v>
          </cell>
        </row>
        <row r="59">
          <cell r="AH59">
            <v>2800</v>
          </cell>
        </row>
        <row r="59">
          <cell r="AM59" t="str">
            <v>乙</v>
          </cell>
        </row>
        <row r="59">
          <cell r="AO59">
            <v>44044</v>
          </cell>
          <cell r="AP59" t="str">
            <v>5年7ヶ月</v>
          </cell>
          <cell r="AQ59">
            <v>26427</v>
          </cell>
          <cell r="AR59">
            <v>53</v>
          </cell>
          <cell r="AS59" t="str">
            <v>横浜市港南区野庭町６２２番地野庭団地４棟４２９号</v>
          </cell>
          <cell r="AT59" t="str">
            <v>横浜市港南区</v>
          </cell>
          <cell r="AU59" t="str">
            <v>野庭町６２２番地野庭団地４棟４２９号</v>
          </cell>
          <cell r="AV59" t="str">
            <v>234-0056</v>
          </cell>
        </row>
        <row r="60">
          <cell r="A60" t="str">
            <v>みつはし</v>
          </cell>
          <cell r="B60" t="str">
            <v>f2n-015</v>
          </cell>
          <cell r="C60">
            <v>4</v>
          </cell>
          <cell r="D60" t="str">
            <v>光橋　季志江</v>
          </cell>
          <cell r="E60" t="str">
            <v>東横フェスタ2 </v>
          </cell>
          <cell r="F60" t="str">
            <v>東横フェスタ8 </v>
          </cell>
        </row>
        <row r="60">
          <cell r="L60">
            <v>4</v>
          </cell>
          <cell r="M60">
            <v>3</v>
          </cell>
          <cell r="N60">
            <v>1</v>
          </cell>
        </row>
        <row r="60">
          <cell r="T60" t="str">
            <v>23:00～24:30</v>
          </cell>
          <cell r="U60" t="str">
            <v>23:00～24:30</v>
          </cell>
        </row>
        <row r="60">
          <cell r="AA60">
            <v>1.5</v>
          </cell>
          <cell r="AB60">
            <v>1.5</v>
          </cell>
        </row>
        <row r="60">
          <cell r="AH60">
            <v>3000</v>
          </cell>
          <cell r="AI60">
            <v>3000</v>
          </cell>
        </row>
        <row r="60">
          <cell r="AM60" t="str">
            <v>甲</v>
          </cell>
        </row>
        <row r="60">
          <cell r="AO60">
            <v>44044</v>
          </cell>
          <cell r="AP60" t="str">
            <v>5年7ヶ月</v>
          </cell>
          <cell r="AQ60">
            <v>28758</v>
          </cell>
          <cell r="AR60">
            <v>47</v>
          </cell>
          <cell r="AS60" t="str">
            <v>横浜市戸塚区上矢部町２８３８番地１５</v>
          </cell>
          <cell r="AT60" t="str">
            <v>横浜市戸塚区</v>
          </cell>
          <cell r="AU60" t="str">
            <v>上矢部町２８３８番地１５</v>
          </cell>
          <cell r="AV60" t="str">
            <v>245-0853</v>
          </cell>
        </row>
        <row r="61">
          <cell r="A61" t="str">
            <v>しぶや</v>
          </cell>
          <cell r="B61" t="str">
            <v>f2n-017</v>
          </cell>
          <cell r="C61">
            <v>3</v>
          </cell>
          <cell r="D61" t="str">
            <v>渋谷　祥美</v>
          </cell>
          <cell r="E61" t="str">
            <v>東横フェスタ2</v>
          </cell>
        </row>
        <row r="61">
          <cell r="L61">
            <v>3</v>
          </cell>
          <cell r="M61">
            <v>3</v>
          </cell>
        </row>
        <row r="61">
          <cell r="T61" t="str">
            <v>23:00～24:30</v>
          </cell>
        </row>
        <row r="61">
          <cell r="AA61">
            <v>1.5</v>
          </cell>
        </row>
        <row r="61">
          <cell r="AH61">
            <v>2800</v>
          </cell>
        </row>
        <row r="61">
          <cell r="AM61" t="str">
            <v>乙</v>
          </cell>
        </row>
        <row r="61">
          <cell r="AO61">
            <v>45040</v>
          </cell>
          <cell r="AP61" t="str">
            <v>2年10ヶ月</v>
          </cell>
          <cell r="AQ61">
            <v>25634</v>
          </cell>
          <cell r="AR61">
            <v>56</v>
          </cell>
          <cell r="AS61" t="str">
            <v>横浜市港南区日限山１丁目６１番５号</v>
          </cell>
          <cell r="AT61" t="str">
            <v>横浜市港南区</v>
          </cell>
          <cell r="AU61" t="str">
            <v>日限山１丁目６１番５号</v>
          </cell>
          <cell r="AV61" t="str">
            <v>233-0015</v>
          </cell>
        </row>
        <row r="62">
          <cell r="A62" t="str">
            <v>なかやま</v>
          </cell>
          <cell r="B62" t="str">
            <v>f2n-018</v>
          </cell>
          <cell r="C62">
            <v>2</v>
          </cell>
          <cell r="D62" t="str">
            <v>中山　英喜</v>
          </cell>
          <cell r="E62" t="str">
            <v>東横フェスタ2</v>
          </cell>
        </row>
        <row r="62">
          <cell r="L62">
            <v>3</v>
          </cell>
          <cell r="M62">
            <v>3</v>
          </cell>
        </row>
        <row r="62">
          <cell r="T62" t="str">
            <v>23:00～24:30</v>
          </cell>
        </row>
        <row r="62">
          <cell r="AA62">
            <v>1.5</v>
          </cell>
        </row>
        <row r="62">
          <cell r="AH62">
            <v>2800</v>
          </cell>
        </row>
        <row r="62">
          <cell r="AM62" t="str">
            <v>乙</v>
          </cell>
        </row>
        <row r="62">
          <cell r="AO62">
            <v>45105</v>
          </cell>
          <cell r="AP62" t="str">
            <v>2年8ヶ月</v>
          </cell>
          <cell r="AQ62">
            <v>24395</v>
          </cell>
          <cell r="AR62">
            <v>59</v>
          </cell>
          <cell r="AS62" t="str">
            <v>鎌倉市大船２丁目２４番１９号</v>
          </cell>
          <cell r="AT62" t="str">
            <v>鎌倉市</v>
          </cell>
          <cell r="AU62" t="str">
            <v>大船２丁目２４番１９号</v>
          </cell>
          <cell r="AV62" t="str">
            <v>247-0056</v>
          </cell>
        </row>
        <row r="63">
          <cell r="A63" t="str">
            <v>いとうる</v>
          </cell>
          <cell r="B63" t="str">
            <v>f2n-022</v>
          </cell>
          <cell r="C63">
            <v>3</v>
          </cell>
          <cell r="D63" t="str">
            <v>伊藤　留美子</v>
          </cell>
          <cell r="E63" t="str">
            <v>東横フェスタ2</v>
          </cell>
          <cell r="F63" t="str">
            <v>東横フェスタ8 </v>
          </cell>
        </row>
        <row r="63">
          <cell r="L63">
            <v>6</v>
          </cell>
          <cell r="M63">
            <v>4</v>
          </cell>
          <cell r="N63">
            <v>2</v>
          </cell>
        </row>
        <row r="63">
          <cell r="T63" t="str">
            <v>23:00～24:30</v>
          </cell>
          <cell r="U63" t="str">
            <v>23:00～24:30</v>
          </cell>
        </row>
        <row r="63">
          <cell r="AA63">
            <v>1.5</v>
          </cell>
          <cell r="AB63">
            <v>1.5</v>
          </cell>
        </row>
        <row r="63">
          <cell r="AH63">
            <v>2800</v>
          </cell>
          <cell r="AI63">
            <v>2800</v>
          </cell>
        </row>
        <row r="63">
          <cell r="AM63" t="str">
            <v>乙</v>
          </cell>
        </row>
        <row r="63">
          <cell r="AO63">
            <v>44044</v>
          </cell>
          <cell r="AP63" t="str">
            <v>5年7ヶ月</v>
          </cell>
          <cell r="AQ63">
            <v>23089</v>
          </cell>
          <cell r="AR63">
            <v>62</v>
          </cell>
          <cell r="AS63" t="str">
            <v>横浜市戸塚区鳥が丘４１番地８</v>
          </cell>
          <cell r="AT63" t="str">
            <v>横浜市戸塚区</v>
          </cell>
          <cell r="AU63" t="str">
            <v>鳥が丘４１番地８</v>
          </cell>
          <cell r="AV63" t="str">
            <v>244-0001</v>
          </cell>
        </row>
        <row r="64">
          <cell r="A64" t="str">
            <v>かりべ</v>
          </cell>
          <cell r="B64" t="str">
            <v>f2n-023</v>
          </cell>
          <cell r="C64">
            <v>2</v>
          </cell>
          <cell r="D64" t="str">
            <v>苅部　正明</v>
          </cell>
          <cell r="E64" t="str">
            <v>東横フェスタ2</v>
          </cell>
        </row>
        <row r="64">
          <cell r="L64">
            <v>2</v>
          </cell>
          <cell r="M64">
            <v>2</v>
          </cell>
        </row>
        <row r="64">
          <cell r="T64" t="str">
            <v>23:00～24:30</v>
          </cell>
          <cell r="U64" t="str">
            <v>23:00～24:30</v>
          </cell>
        </row>
        <row r="64">
          <cell r="AA64">
            <v>1.5</v>
          </cell>
        </row>
        <row r="64">
          <cell r="AH64">
            <v>2800</v>
          </cell>
        </row>
        <row r="64">
          <cell r="AM64" t="str">
            <v>乙</v>
          </cell>
        </row>
        <row r="64">
          <cell r="AO64">
            <v>45840</v>
          </cell>
          <cell r="AP64" t="str">
            <v>0年8ヶ月</v>
          </cell>
          <cell r="AQ64">
            <v>28425</v>
          </cell>
          <cell r="AR64">
            <v>48</v>
          </cell>
          <cell r="AS64" t="str">
            <v>横浜市栄区長沼町５７１番地２</v>
          </cell>
          <cell r="AT64" t="str">
            <v>横浜市栄区</v>
          </cell>
          <cell r="AU64" t="str">
            <v>長沼町５７１番地２</v>
          </cell>
          <cell r="AV64" t="str">
            <v>244-0841</v>
          </cell>
        </row>
        <row r="65">
          <cell r="A65" t="str">
            <v>まつした</v>
          </cell>
          <cell r="B65" t="str">
            <v>f3d-007</v>
          </cell>
          <cell r="C65">
            <v>3</v>
          </cell>
          <cell r="D65" t="str">
            <v>松下　和江</v>
          </cell>
          <cell r="E65" t="str">
            <v>東横フェスタ3 </v>
          </cell>
        </row>
        <row r="65">
          <cell r="L65">
            <v>3</v>
          </cell>
          <cell r="M65">
            <v>3</v>
          </cell>
        </row>
        <row r="65">
          <cell r="T65" t="str">
            <v>16:00～20:00</v>
          </cell>
        </row>
        <row r="65">
          <cell r="AA65">
            <v>4</v>
          </cell>
        </row>
        <row r="65">
          <cell r="AH65">
            <v>1225</v>
          </cell>
        </row>
        <row r="65">
          <cell r="AM65" t="str">
            <v>乙</v>
          </cell>
        </row>
        <row r="65">
          <cell r="AO65">
            <v>44308</v>
          </cell>
          <cell r="AP65" t="str">
            <v>4年10ヶ月</v>
          </cell>
          <cell r="AQ65">
            <v>19358</v>
          </cell>
          <cell r="AR65">
            <v>73</v>
          </cell>
          <cell r="AS65" t="str">
            <v>横浜市泉区上飯田町４００番地　中野ハイツＡ－１０３</v>
          </cell>
          <cell r="AT65" t="str">
            <v>横浜市泉区</v>
          </cell>
          <cell r="AU65" t="str">
            <v>上飯田町４００番地　中野ハイツＡ－１０３</v>
          </cell>
          <cell r="AV65" t="str">
            <v>245-0018</v>
          </cell>
        </row>
        <row r="66">
          <cell r="A66" t="str">
            <v>こさか</v>
          </cell>
          <cell r="B66" t="str">
            <v>f3d-011</v>
          </cell>
          <cell r="C66">
            <v>2</v>
          </cell>
          <cell r="D66" t="str">
            <v>小坂　妙子</v>
          </cell>
          <cell r="E66" t="str">
            <v>東横フェスタ3 </v>
          </cell>
        </row>
        <row r="66">
          <cell r="L66">
            <v>2</v>
          </cell>
          <cell r="M66">
            <v>2</v>
          </cell>
        </row>
        <row r="66">
          <cell r="T66" t="str">
            <v>16:00～20:00</v>
          </cell>
        </row>
        <row r="66">
          <cell r="AA66">
            <v>4</v>
          </cell>
        </row>
        <row r="66">
          <cell r="AH66">
            <v>1225</v>
          </cell>
        </row>
        <row r="66">
          <cell r="AM66" t="str">
            <v>甲</v>
          </cell>
        </row>
        <row r="66">
          <cell r="AO66">
            <v>45939</v>
          </cell>
          <cell r="AP66" t="str">
            <v>0年5ヶ月</v>
          </cell>
          <cell r="AQ66">
            <v>17432</v>
          </cell>
          <cell r="AR66">
            <v>78</v>
          </cell>
          <cell r="AS66" t="str">
            <v>横浜市泉区中田南４丁目３４番２２号</v>
          </cell>
          <cell r="AT66" t="str">
            <v>横浜市泉区</v>
          </cell>
          <cell r="AU66" t="str">
            <v>中田南４丁目３４番２２号</v>
          </cell>
          <cell r="AV66" t="str">
            <v>245-0014</v>
          </cell>
        </row>
        <row r="67">
          <cell r="A67" t="str">
            <v>つるもと</v>
          </cell>
          <cell r="B67" t="str">
            <v>f3n-004</v>
          </cell>
          <cell r="C67">
            <v>5</v>
          </cell>
          <cell r="D67" t="str">
            <v>鶴本　光昭</v>
          </cell>
          <cell r="E67" t="str">
            <v>東横フェスタ3 </v>
          </cell>
        </row>
        <row r="67">
          <cell r="L67">
            <v>5</v>
          </cell>
          <cell r="M67">
            <v>5</v>
          </cell>
        </row>
        <row r="67">
          <cell r="T67" t="str">
            <v>23:00～24:30</v>
          </cell>
        </row>
        <row r="67">
          <cell r="AA67">
            <v>1.5</v>
          </cell>
        </row>
        <row r="67">
          <cell r="AH67">
            <v>3000</v>
          </cell>
        </row>
        <row r="67">
          <cell r="AL67">
            <v>2500</v>
          </cell>
          <cell r="AM67" t="str">
            <v>乙</v>
          </cell>
        </row>
        <row r="67">
          <cell r="AO67">
            <v>44044</v>
          </cell>
          <cell r="AP67" t="str">
            <v>5年7ヶ月</v>
          </cell>
          <cell r="AQ67">
            <v>25948</v>
          </cell>
          <cell r="AR67">
            <v>55</v>
          </cell>
          <cell r="AS67" t="str">
            <v>横浜市戸塚区深谷町１３０２番地  アークプラザ戸塚４０２号</v>
          </cell>
          <cell r="AT67" t="str">
            <v>横浜市戸塚区</v>
          </cell>
          <cell r="AU67" t="str">
            <v>深谷町１３０２番地  アークプラザ戸塚４０２号</v>
          </cell>
          <cell r="AV67" t="str">
            <v>245-0067</v>
          </cell>
        </row>
        <row r="67">
          <cell r="BB67" t="str">
            <v>尚、リーダー手当として　月</v>
          </cell>
          <cell r="BC67" t="str">
            <v>を加算する。</v>
          </cell>
        </row>
        <row r="68">
          <cell r="A68" t="str">
            <v>いとうまな</v>
          </cell>
          <cell r="B68" t="str">
            <v>f3n-006</v>
          </cell>
          <cell r="C68">
            <v>2</v>
          </cell>
          <cell r="D68" t="str">
            <v>伊藤　愛美</v>
          </cell>
          <cell r="E68" t="str">
            <v>東横フェスタ3 </v>
          </cell>
        </row>
        <row r="68">
          <cell r="L68">
            <v>2</v>
          </cell>
          <cell r="M68">
            <v>2</v>
          </cell>
        </row>
        <row r="68">
          <cell r="T68" t="str">
            <v>23:00～24:30</v>
          </cell>
        </row>
        <row r="68">
          <cell r="AA68">
            <v>1.5</v>
          </cell>
        </row>
        <row r="68">
          <cell r="AH68">
            <v>2800</v>
          </cell>
        </row>
        <row r="68">
          <cell r="AM68" t="str">
            <v>乙</v>
          </cell>
        </row>
        <row r="68">
          <cell r="AO68">
            <v>44044</v>
          </cell>
          <cell r="AP68" t="str">
            <v>5年7ヶ月</v>
          </cell>
          <cell r="AQ68">
            <v>34143</v>
          </cell>
          <cell r="AR68">
            <v>32</v>
          </cell>
          <cell r="AS68" t="str">
            <v>横浜市戸塚区深谷町５５番地４６</v>
          </cell>
          <cell r="AT68" t="str">
            <v>横浜市戸塚区</v>
          </cell>
          <cell r="AU68" t="str">
            <v>深谷町５５番地４６</v>
          </cell>
          <cell r="AV68" t="str">
            <v>245-0067</v>
          </cell>
        </row>
        <row r="69">
          <cell r="A69" t="str">
            <v>かねきこ</v>
          </cell>
          <cell r="B69" t="str">
            <v>f3n-010</v>
          </cell>
          <cell r="C69">
            <v>3</v>
          </cell>
          <cell r="D69" t="str">
            <v>金木　幸一</v>
          </cell>
          <cell r="E69" t="str">
            <v>東横フェスタ3 </v>
          </cell>
          <cell r="F69" t="str">
            <v>甲の管理物件全般</v>
          </cell>
        </row>
        <row r="69">
          <cell r="M69">
            <v>1</v>
          </cell>
          <cell r="N69">
            <v>8</v>
          </cell>
        </row>
        <row r="69">
          <cell r="T69" t="str">
            <v>23:00～24:30</v>
          </cell>
          <cell r="U69" t="str">
            <v>日中作業</v>
          </cell>
          <cell r="V69" t="str">
            <v>夜間作業</v>
          </cell>
        </row>
        <row r="69">
          <cell r="AA69">
            <v>1.5</v>
          </cell>
        </row>
        <row r="69">
          <cell r="AH69">
            <v>3000</v>
          </cell>
          <cell r="AI69">
            <v>1300</v>
          </cell>
          <cell r="AJ69">
            <v>1600</v>
          </cell>
        </row>
        <row r="69">
          <cell r="AM69" t="str">
            <v>乙</v>
          </cell>
        </row>
        <row r="69">
          <cell r="AO69">
            <v>40128</v>
          </cell>
          <cell r="AP69" t="str">
            <v>16年4ヶ月</v>
          </cell>
          <cell r="AQ69">
            <v>26633</v>
          </cell>
          <cell r="AR69">
            <v>53</v>
          </cell>
          <cell r="AS69" t="str">
            <v>横浜市栄区長沼町２６６番地ヴィラージュ石井１０２号</v>
          </cell>
          <cell r="AT69" t="str">
            <v>横浜市栄区</v>
          </cell>
          <cell r="AU69" t="str">
            <v>長沼町２６６番地ヴィラージュ石井１０２号</v>
          </cell>
          <cell r="AV69" t="str">
            <v>244-0841</v>
          </cell>
        </row>
        <row r="70">
          <cell r="A70" t="str">
            <v>たけうち</v>
          </cell>
          <cell r="B70" t="str">
            <v>f5d-002</v>
          </cell>
          <cell r="C70">
            <v>4</v>
          </cell>
          <cell r="D70" t="str">
            <v>竹内　政子</v>
          </cell>
          <cell r="E70" t="str">
            <v>東横フェスタ5</v>
          </cell>
          <cell r="F70" t="str">
            <v>東横フェスタ5</v>
          </cell>
        </row>
        <row r="70">
          <cell r="L70">
            <v>4</v>
          </cell>
          <cell r="M70">
            <v>2</v>
          </cell>
          <cell r="N70">
            <v>2</v>
          </cell>
        </row>
        <row r="70">
          <cell r="T70" t="str">
            <v>12:00～20:00</v>
          </cell>
          <cell r="U70" t="str">
            <v>16:00～20:00</v>
          </cell>
        </row>
        <row r="70">
          <cell r="AA70">
            <v>7</v>
          </cell>
        </row>
        <row r="70">
          <cell r="AH70">
            <v>1225</v>
          </cell>
        </row>
        <row r="70">
          <cell r="AM70" t="str">
            <v>甲</v>
          </cell>
        </row>
        <row r="70">
          <cell r="AO70">
            <v>44249</v>
          </cell>
          <cell r="AP70" t="str">
            <v>5年0ヶ月</v>
          </cell>
          <cell r="AQ70">
            <v>17937</v>
          </cell>
          <cell r="AR70">
            <v>77</v>
          </cell>
          <cell r="AS70" t="str">
            <v>横浜市戸塚区上柏尾町３７０番地５２</v>
          </cell>
          <cell r="AT70" t="str">
            <v>横浜市戸塚区</v>
          </cell>
          <cell r="AU70" t="str">
            <v>上柏尾町３７０番地５２</v>
          </cell>
          <cell r="AV70" t="str">
            <v>244-0811</v>
          </cell>
        </row>
        <row r="71">
          <cell r="A71" t="str">
            <v>ふくもと</v>
          </cell>
          <cell r="B71" t="str">
            <v>f5n-010</v>
          </cell>
          <cell r="C71">
            <v>5</v>
          </cell>
          <cell r="D71" t="str">
            <v>福本　三枝</v>
          </cell>
          <cell r="E71" t="str">
            <v>東横フェスタ5</v>
          </cell>
          <cell r="F71" t="str">
            <v>東横フェスタ2</v>
          </cell>
        </row>
        <row r="71">
          <cell r="L71">
            <v>5</v>
          </cell>
          <cell r="M71">
            <v>3</v>
          </cell>
          <cell r="N71">
            <v>2</v>
          </cell>
        </row>
        <row r="71">
          <cell r="T71" t="str">
            <v>12:00～20:00</v>
          </cell>
          <cell r="U71" t="str">
            <v>15:00～21:00</v>
          </cell>
        </row>
        <row r="71">
          <cell r="AA71">
            <v>7</v>
          </cell>
        </row>
        <row r="71">
          <cell r="AH71">
            <v>1225</v>
          </cell>
        </row>
        <row r="71">
          <cell r="AM71" t="str">
            <v>甲</v>
          </cell>
          <cell r="AN71" t="str">
            <v>加入・健保・介護・年金</v>
          </cell>
          <cell r="AO71">
            <v>45689</v>
          </cell>
          <cell r="AP71" t="str">
            <v>1年1ヶ月</v>
          </cell>
          <cell r="AQ71">
            <v>24625</v>
          </cell>
          <cell r="AR71">
            <v>58</v>
          </cell>
          <cell r="AS71" t="str">
            <v>横浜市戸塚区俣野町１４０３ドリームハイツ１５－５０５</v>
          </cell>
          <cell r="AT71" t="str">
            <v>横浜市戸塚区</v>
          </cell>
          <cell r="AU71" t="str">
            <v>俣野町１４０３ドリームハイツ１５－５０５</v>
          </cell>
          <cell r="AV71" t="str">
            <v>244-0802</v>
          </cell>
        </row>
        <row r="72">
          <cell r="A72" t="str">
            <v>いしぐろ</v>
          </cell>
          <cell r="B72" t="str">
            <v>f5n-004</v>
          </cell>
          <cell r="C72">
            <v>5</v>
          </cell>
          <cell r="D72" t="str">
            <v>石黒　真弓</v>
          </cell>
          <cell r="E72" t="str">
            <v>東横フェスタ5</v>
          </cell>
          <cell r="F72" t="str">
            <v>甲の管理物件全般</v>
          </cell>
        </row>
        <row r="72">
          <cell r="M72">
            <v>3</v>
          </cell>
          <cell r="N72">
            <v>8</v>
          </cell>
        </row>
        <row r="72">
          <cell r="T72" t="str">
            <v>23:00～24:30</v>
          </cell>
          <cell r="U72" t="str">
            <v>日中作業</v>
          </cell>
          <cell r="V72" t="str">
            <v>夜間作業</v>
          </cell>
        </row>
        <row r="72">
          <cell r="AA72">
            <v>1.5</v>
          </cell>
        </row>
        <row r="72">
          <cell r="AH72">
            <v>3000</v>
          </cell>
          <cell r="AI72">
            <v>1300</v>
          </cell>
          <cell r="AJ72">
            <v>1600</v>
          </cell>
        </row>
        <row r="72">
          <cell r="AM72" t="str">
            <v>甲</v>
          </cell>
        </row>
        <row r="72">
          <cell r="AO72">
            <v>41030</v>
          </cell>
          <cell r="AP72" t="str">
            <v>13年10ヶ月</v>
          </cell>
          <cell r="AQ72">
            <v>26856</v>
          </cell>
          <cell r="AR72">
            <v>52</v>
          </cell>
          <cell r="AS72" t="str">
            <v>横浜市戸塚区上矢部町４４０番地１　グランガーデン東戸塚５４０号</v>
          </cell>
          <cell r="AT72" t="str">
            <v>横浜市戸塚区</v>
          </cell>
          <cell r="AU72" t="str">
            <v>上矢部町４４０番地１　グランガーデン東戸塚５４０号</v>
          </cell>
          <cell r="AV72" t="str">
            <v>245-0053</v>
          </cell>
        </row>
        <row r="73">
          <cell r="A73" t="str">
            <v>よしだみ</v>
          </cell>
          <cell r="B73" t="str">
            <v>f5n-005</v>
          </cell>
          <cell r="C73">
            <v>2</v>
          </cell>
          <cell r="D73" t="str">
            <v>吉田　みゆき</v>
          </cell>
          <cell r="E73" t="str">
            <v>東横フェスタ5</v>
          </cell>
        </row>
        <row r="73">
          <cell r="L73">
            <v>2</v>
          </cell>
          <cell r="M73">
            <v>2</v>
          </cell>
        </row>
        <row r="73">
          <cell r="T73" t="str">
            <v>23:00～24:30</v>
          </cell>
        </row>
        <row r="73">
          <cell r="AA73">
            <v>1.5</v>
          </cell>
        </row>
        <row r="73">
          <cell r="AH73">
            <v>2800</v>
          </cell>
        </row>
        <row r="73">
          <cell r="AM73" t="str">
            <v>甲</v>
          </cell>
        </row>
        <row r="73">
          <cell r="AO73">
            <v>44044</v>
          </cell>
          <cell r="AP73" t="str">
            <v>5年7ヶ月</v>
          </cell>
          <cell r="AQ73">
            <v>28720</v>
          </cell>
          <cell r="AR73">
            <v>47</v>
          </cell>
          <cell r="AS73" t="str">
            <v>横浜市戸塚区平戸町１１７４番地１　県営平戸高層ｱﾊﾟｰﾄ４棟９０６号</v>
          </cell>
          <cell r="AT73" t="str">
            <v>横浜市戸塚区</v>
          </cell>
          <cell r="AU73" t="str">
            <v>平戸町１１７４番地１　県営平戸高層ｱﾊﾟｰﾄ４棟９０６号</v>
          </cell>
          <cell r="AV73" t="str">
            <v>244-0802</v>
          </cell>
        </row>
        <row r="74">
          <cell r="A74" t="str">
            <v>かとうれ</v>
          </cell>
          <cell r="B74" t="str">
            <v>f5n-006</v>
          </cell>
          <cell r="C74">
            <v>5</v>
          </cell>
          <cell r="D74" t="str">
            <v>加藤　礼奈</v>
          </cell>
          <cell r="E74" t="str">
            <v>東横フェスタ5</v>
          </cell>
        </row>
        <row r="74">
          <cell r="L74">
            <v>5</v>
          </cell>
          <cell r="M74">
            <v>5</v>
          </cell>
        </row>
        <row r="74">
          <cell r="T74" t="str">
            <v>23:00～24:30</v>
          </cell>
        </row>
        <row r="74">
          <cell r="AA74">
            <v>1.5</v>
          </cell>
        </row>
        <row r="74">
          <cell r="AH74">
            <v>2700</v>
          </cell>
        </row>
        <row r="74">
          <cell r="AM74" t="str">
            <v>WワークBSメイン</v>
          </cell>
        </row>
        <row r="74">
          <cell r="AO74">
            <v>44586</v>
          </cell>
          <cell r="AP74" t="str">
            <v>4年1ヶ月</v>
          </cell>
          <cell r="AQ74">
            <v>33203</v>
          </cell>
          <cell r="AR74">
            <v>35</v>
          </cell>
          <cell r="AS74" t="str">
            <v>横浜市保土ヶ谷区仏向町９５８番地ジュネツヒルＡー１０２号</v>
          </cell>
          <cell r="AT74" t="str">
            <v>横浜市保土ヶ谷区</v>
          </cell>
          <cell r="AU74" t="str">
            <v>仏向町９５８番地ジュネツヒルＡー１０２号</v>
          </cell>
          <cell r="AV74" t="str">
            <v>240-0044</v>
          </cell>
        </row>
        <row r="75">
          <cell r="A75" t="str">
            <v>つかだ</v>
          </cell>
          <cell r="B75" t="str">
            <v>f5n-011</v>
          </cell>
          <cell r="C75">
            <v>2</v>
          </cell>
          <cell r="D75" t="str">
            <v>塚田　加奈</v>
          </cell>
          <cell r="E75" t="str">
            <v>東横フェスタ5</v>
          </cell>
        </row>
        <row r="75">
          <cell r="L75">
            <v>2</v>
          </cell>
          <cell r="M75">
            <v>2</v>
          </cell>
        </row>
        <row r="75">
          <cell r="T75" t="str">
            <v>23:00～24:30</v>
          </cell>
        </row>
        <row r="75">
          <cell r="AA75">
            <v>1.5</v>
          </cell>
        </row>
        <row r="75">
          <cell r="AH75">
            <v>2700</v>
          </cell>
        </row>
        <row r="75">
          <cell r="AM75" t="str">
            <v>乙</v>
          </cell>
        </row>
        <row r="75">
          <cell r="AO75">
            <v>45538</v>
          </cell>
          <cell r="AP75" t="str">
            <v>1年6ヶ月</v>
          </cell>
          <cell r="AQ75">
            <v>34466</v>
          </cell>
          <cell r="AR75">
            <v>31</v>
          </cell>
          <cell r="AS75" t="str">
            <v>横浜市保土ヶ谷区東川島町６２番地５号２階</v>
          </cell>
          <cell r="AT75" t="str">
            <v>横浜市保土ヶ谷区</v>
          </cell>
          <cell r="AU75" t="str">
            <v>東川島町６２番地５号２階</v>
          </cell>
          <cell r="AV75" t="str">
            <v>240-0041</v>
          </cell>
        </row>
        <row r="76">
          <cell r="A76" t="str">
            <v>うえさか</v>
          </cell>
          <cell r="B76" t="str">
            <v>f8d-001</v>
          </cell>
          <cell r="C76">
            <v>5</v>
          </cell>
          <cell r="D76" t="str">
            <v>上坂　由子</v>
          </cell>
          <cell r="E76" t="str">
            <v>東横フェスタ8 </v>
          </cell>
        </row>
        <row r="76">
          <cell r="L76">
            <v>5</v>
          </cell>
          <cell r="M76">
            <v>5</v>
          </cell>
        </row>
        <row r="76">
          <cell r="T76" t="str">
            <v>16:00～20:00</v>
          </cell>
        </row>
        <row r="76">
          <cell r="AA76">
            <v>4</v>
          </cell>
        </row>
        <row r="76">
          <cell r="AH76">
            <v>1225</v>
          </cell>
        </row>
        <row r="76">
          <cell r="AM76" t="str">
            <v>甲</v>
          </cell>
          <cell r="AN76" t="str">
            <v>加入</v>
          </cell>
          <cell r="AO76">
            <v>42645</v>
          </cell>
          <cell r="AP76" t="str">
            <v>9年5ヶ月</v>
          </cell>
          <cell r="AQ76">
            <v>18032</v>
          </cell>
          <cell r="AR76">
            <v>76</v>
          </cell>
          <cell r="AS76" t="str">
            <v>横浜市保土ヶ谷区法泉３丁目２２番法泉ハイツ１５棟１０１号</v>
          </cell>
          <cell r="AT76" t="str">
            <v>横浜市保土ヶ谷区</v>
          </cell>
          <cell r="AU76" t="str">
            <v>法泉３丁目２２番法泉ハイツ１５棟１０１号</v>
          </cell>
          <cell r="AV76" t="str">
            <v>240-0032</v>
          </cell>
        </row>
        <row r="77">
          <cell r="A77" t="str">
            <v>さいとう</v>
          </cell>
          <cell r="B77" t="str">
            <v>f8d-018</v>
          </cell>
          <cell r="C77">
            <v>1</v>
          </cell>
          <cell r="D77" t="str">
            <v>齋藤　恵子</v>
          </cell>
          <cell r="E77" t="str">
            <v>東横フェスタ8 </v>
          </cell>
        </row>
        <row r="77">
          <cell r="L77">
            <v>1</v>
          </cell>
          <cell r="M77">
            <v>1</v>
          </cell>
        </row>
        <row r="77">
          <cell r="T77" t="str">
            <v>16:00～20:00</v>
          </cell>
        </row>
        <row r="77">
          <cell r="AA77">
            <v>4</v>
          </cell>
        </row>
        <row r="77">
          <cell r="AH77">
            <v>1225</v>
          </cell>
        </row>
        <row r="77">
          <cell r="AM77" t="str">
            <v>乙</v>
          </cell>
        </row>
        <row r="77">
          <cell r="AO77">
            <v>45986</v>
          </cell>
          <cell r="AP77" t="str">
            <v>0年3ヶ月</v>
          </cell>
          <cell r="AQ77">
            <v>18343</v>
          </cell>
          <cell r="AR77">
            <v>75</v>
          </cell>
          <cell r="AS77" t="str">
            <v>横浜市旭区三反田町２６６－５</v>
          </cell>
          <cell r="AT77" t="str">
            <v>横浜市旭区</v>
          </cell>
          <cell r="AU77" t="str">
            <v>三反田町２６６－５</v>
          </cell>
          <cell r="AV77" t="str">
            <v>241-0013</v>
          </cell>
        </row>
        <row r="78">
          <cell r="A78" t="str">
            <v>かとうよ</v>
          </cell>
          <cell r="B78" t="str">
            <v>f8n-006</v>
          </cell>
          <cell r="C78">
            <v>5</v>
          </cell>
          <cell r="D78" t="str">
            <v>加藤　洋子</v>
          </cell>
          <cell r="E78" t="str">
            <v>東横フェスタ8 </v>
          </cell>
        </row>
        <row r="78">
          <cell r="L78">
            <v>6</v>
          </cell>
          <cell r="M78">
            <v>6</v>
          </cell>
        </row>
        <row r="78">
          <cell r="T78" t="str">
            <v>23:00～24:30</v>
          </cell>
        </row>
        <row r="78">
          <cell r="AA78">
            <v>1.5</v>
          </cell>
        </row>
        <row r="78">
          <cell r="AH78">
            <v>2800</v>
          </cell>
        </row>
        <row r="78">
          <cell r="AL78">
            <v>5000</v>
          </cell>
          <cell r="AM78" t="str">
            <v>乙</v>
          </cell>
        </row>
        <row r="78">
          <cell r="AO78">
            <v>44044</v>
          </cell>
          <cell r="AP78" t="str">
            <v>5年7ヶ月</v>
          </cell>
          <cell r="AQ78">
            <v>24947</v>
          </cell>
          <cell r="AR78">
            <v>57</v>
          </cell>
          <cell r="AS78" t="str">
            <v>横浜市保土ヶ谷区権田坂３丁目２番１－２１４号</v>
          </cell>
          <cell r="AT78" t="str">
            <v>横浜市保土ヶ谷区</v>
          </cell>
          <cell r="AU78" t="str">
            <v>権田坂３丁目２番１－２１４号</v>
          </cell>
          <cell r="AV78" t="str">
            <v>240-0006</v>
          </cell>
        </row>
        <row r="78">
          <cell r="BB78" t="str">
            <v>尚、リーダー手当として　月</v>
          </cell>
          <cell r="BC78" t="str">
            <v>を加算する。</v>
          </cell>
        </row>
        <row r="79">
          <cell r="A79" t="str">
            <v>すとう</v>
          </cell>
          <cell r="B79" t="str">
            <v>f8n-003</v>
          </cell>
          <cell r="C79">
            <v>2</v>
          </cell>
          <cell r="D79" t="str">
            <v>首藤　昌代</v>
          </cell>
          <cell r="E79" t="str">
            <v>東横フェスタ8 </v>
          </cell>
        </row>
        <row r="79">
          <cell r="L79">
            <v>2</v>
          </cell>
          <cell r="M79">
            <v>2</v>
          </cell>
        </row>
        <row r="79">
          <cell r="T79" t="str">
            <v>23:00～24:30</v>
          </cell>
        </row>
        <row r="79">
          <cell r="AA79">
            <v>1.5</v>
          </cell>
        </row>
        <row r="79">
          <cell r="AH79">
            <v>2800</v>
          </cell>
        </row>
        <row r="79">
          <cell r="AM79" t="str">
            <v>甲</v>
          </cell>
        </row>
        <row r="79">
          <cell r="AO79">
            <v>44044</v>
          </cell>
          <cell r="AP79" t="str">
            <v>5年7ヶ月</v>
          </cell>
          <cell r="AQ79">
            <v>27898</v>
          </cell>
          <cell r="AR79">
            <v>49</v>
          </cell>
          <cell r="AS79" t="str">
            <v>横浜市保土ヶ谷区狩場町１６４番地３３　ｸﾞﾘｰﾝﾋﾙｽﾞ横浜E棟１０４号</v>
          </cell>
          <cell r="AT79" t="str">
            <v>横浜市保土ヶ谷区</v>
          </cell>
          <cell r="AU79" t="str">
            <v>狩場町１６４番地３３　ｸﾞﾘｰﾝﾋﾙｽﾞ横浜E棟１０４号</v>
          </cell>
          <cell r="AV79" t="str">
            <v>240-0025</v>
          </cell>
        </row>
        <row r="80">
          <cell r="A80" t="str">
            <v>ふかや</v>
          </cell>
          <cell r="B80" t="str">
            <v>f8n-007</v>
          </cell>
          <cell r="C80">
            <v>4</v>
          </cell>
          <cell r="D80" t="str">
            <v>深谷　喜一</v>
          </cell>
          <cell r="E80" t="str">
            <v>東横フェスタ8 </v>
          </cell>
        </row>
        <row r="80">
          <cell r="L80">
            <v>4</v>
          </cell>
          <cell r="M80">
            <v>4</v>
          </cell>
        </row>
        <row r="80">
          <cell r="T80" t="str">
            <v>23:00～24:30</v>
          </cell>
        </row>
        <row r="80">
          <cell r="AA80">
            <v>1.5</v>
          </cell>
        </row>
        <row r="80">
          <cell r="AH80">
            <v>2700</v>
          </cell>
        </row>
        <row r="80">
          <cell r="AM80" t="str">
            <v>甲</v>
          </cell>
        </row>
        <row r="80">
          <cell r="AO80">
            <v>44044</v>
          </cell>
          <cell r="AP80" t="str">
            <v>5年7ヶ月</v>
          </cell>
          <cell r="AQ80">
            <v>24620</v>
          </cell>
          <cell r="AR80">
            <v>58</v>
          </cell>
          <cell r="AS80" t="str">
            <v>横浜市保土ヶ谷区星川３丁目３番３０号　　090-3813-2760</v>
          </cell>
          <cell r="AT80" t="str">
            <v>横浜市保土ヶ谷区</v>
          </cell>
          <cell r="AU80" t="str">
            <v>星川３丁目３番３０号　　090-3813-2760</v>
          </cell>
          <cell r="AV80" t="str">
            <v>240-0042</v>
          </cell>
        </row>
        <row r="81">
          <cell r="A81" t="str">
            <v>いとうまさ</v>
          </cell>
          <cell r="B81" t="str">
            <v>f8n-013</v>
          </cell>
          <cell r="C81">
            <v>4</v>
          </cell>
          <cell r="D81" t="str">
            <v>伊藤　正樹</v>
          </cell>
          <cell r="E81" t="str">
            <v>東横フェスタ8 </v>
          </cell>
        </row>
        <row r="81">
          <cell r="L81">
            <v>3</v>
          </cell>
          <cell r="M81">
            <v>3</v>
          </cell>
        </row>
        <row r="81">
          <cell r="T81" t="str">
            <v>23:00～24:30</v>
          </cell>
        </row>
        <row r="81">
          <cell r="AA81">
            <v>1.5</v>
          </cell>
        </row>
        <row r="81">
          <cell r="AH81">
            <v>2700</v>
          </cell>
        </row>
        <row r="81">
          <cell r="AM81" t="str">
            <v>乙</v>
          </cell>
        </row>
        <row r="81">
          <cell r="AO81">
            <v>45445</v>
          </cell>
          <cell r="AP81" t="str">
            <v>1年9ヶ月</v>
          </cell>
          <cell r="AQ81">
            <v>31238</v>
          </cell>
          <cell r="AR81">
            <v>40</v>
          </cell>
          <cell r="AS81" t="str">
            <v>横浜市保南区別所５丁目２６番２４　ドエルアルス上大岡西３０３号</v>
          </cell>
          <cell r="AT81" t="str">
            <v>横浜市保南区</v>
          </cell>
          <cell r="AU81" t="str">
            <v>別所５丁目２６番２４　ドエルアルス上大岡西３０３号</v>
          </cell>
          <cell r="AV81" t="str">
            <v>232-0064</v>
          </cell>
        </row>
        <row r="82">
          <cell r="A82" t="str">
            <v>よしだあ</v>
          </cell>
          <cell r="B82" t="str">
            <v>f8n-015</v>
          </cell>
          <cell r="C82">
            <v>3</v>
          </cell>
          <cell r="D82" t="str">
            <v>吉田　暁弘</v>
          </cell>
          <cell r="E82" t="str">
            <v>東横フェスタ8 </v>
          </cell>
        </row>
        <row r="82">
          <cell r="L82">
            <v>3</v>
          </cell>
          <cell r="M82">
            <v>3</v>
          </cell>
        </row>
        <row r="82">
          <cell r="T82" t="str">
            <v>23:00～24:30</v>
          </cell>
        </row>
        <row r="82">
          <cell r="AA82">
            <v>1.5</v>
          </cell>
        </row>
        <row r="82">
          <cell r="AH82">
            <v>3000</v>
          </cell>
        </row>
        <row r="82">
          <cell r="AM82" t="str">
            <v>乙</v>
          </cell>
        </row>
        <row r="82">
          <cell r="AO82">
            <v>45671</v>
          </cell>
          <cell r="AP82" t="str">
            <v>1年1ヶ月</v>
          </cell>
          <cell r="AQ82">
            <v>25401</v>
          </cell>
          <cell r="AR82">
            <v>56</v>
          </cell>
          <cell r="AS82" t="str">
            <v>横浜市戸塚区深谷町９１７番地２４</v>
          </cell>
          <cell r="AT82" t="str">
            <v>横浜市戸塚区</v>
          </cell>
          <cell r="AU82" t="str">
            <v>深谷町９１７番地２４</v>
          </cell>
          <cell r="AV82" t="str">
            <v>245-0067</v>
          </cell>
        </row>
        <row r="83">
          <cell r="A83" t="str">
            <v>さくらいゆ</v>
          </cell>
          <cell r="B83" t="str">
            <v>f8n-016</v>
          </cell>
          <cell r="C83">
            <v>3</v>
          </cell>
          <cell r="D83" t="str">
            <v>櫻井　裕次</v>
          </cell>
          <cell r="E83" t="str">
            <v>東横フェスタ8 </v>
          </cell>
        </row>
        <row r="83">
          <cell r="L83">
            <v>3</v>
          </cell>
          <cell r="M83">
            <v>3</v>
          </cell>
        </row>
        <row r="83">
          <cell r="T83" t="str">
            <v>23:00～24:30</v>
          </cell>
        </row>
        <row r="83">
          <cell r="AA83">
            <v>1.5</v>
          </cell>
        </row>
        <row r="83">
          <cell r="AH83">
            <v>3000</v>
          </cell>
        </row>
        <row r="83">
          <cell r="AM83" t="str">
            <v>乙</v>
          </cell>
        </row>
        <row r="83">
          <cell r="AO83">
            <v>45674</v>
          </cell>
          <cell r="AP83" t="str">
            <v>1年1ヶ月</v>
          </cell>
          <cell r="AQ83">
            <v>25044</v>
          </cell>
          <cell r="AR83">
            <v>57</v>
          </cell>
          <cell r="AS83" t="str">
            <v>横浜市港南区下永谷６丁目６番１６</v>
          </cell>
          <cell r="AT83" t="str">
            <v>横浜市港南区</v>
          </cell>
          <cell r="AU83" t="str">
            <v>下永谷６丁目６番１６</v>
          </cell>
          <cell r="AV83" t="str">
            <v>233-0016</v>
          </cell>
        </row>
        <row r="84">
          <cell r="A84" t="str">
            <v>おおとも</v>
          </cell>
          <cell r="B84" t="str">
            <v>f8n-017</v>
          </cell>
          <cell r="C84">
            <v>3</v>
          </cell>
          <cell r="D84" t="str">
            <v>大友　重美</v>
          </cell>
          <cell r="E84" t="str">
            <v>東横フェスタ8 </v>
          </cell>
        </row>
        <row r="84">
          <cell r="L84">
            <v>3</v>
          </cell>
          <cell r="M84">
            <v>3</v>
          </cell>
        </row>
        <row r="84">
          <cell r="T84" t="str">
            <v>23:00～24:30</v>
          </cell>
        </row>
        <row r="84">
          <cell r="AA84">
            <v>1.5</v>
          </cell>
        </row>
        <row r="84">
          <cell r="AH84">
            <v>2700</v>
          </cell>
        </row>
        <row r="84">
          <cell r="AM84" t="str">
            <v>甲</v>
          </cell>
        </row>
        <row r="84">
          <cell r="AO84">
            <v>45949</v>
          </cell>
          <cell r="AP84" t="str">
            <v>0年4ヶ月</v>
          </cell>
          <cell r="AQ84">
            <v>18543</v>
          </cell>
          <cell r="AR84">
            <v>75</v>
          </cell>
          <cell r="AS84" t="str">
            <v>横浜市保土ヶ谷区狩場町４５４番地７２号</v>
          </cell>
          <cell r="AT84" t="str">
            <v>横浜市保土ヶ谷区</v>
          </cell>
          <cell r="AU84" t="str">
            <v>狩場町４５４番地７２号</v>
          </cell>
          <cell r="AV84" t="str">
            <v>240-0025</v>
          </cell>
        </row>
        <row r="85">
          <cell r="A85" t="str">
            <v>おおせ</v>
          </cell>
          <cell r="B85" t="str">
            <v>f2d-23</v>
          </cell>
          <cell r="C85">
            <v>2</v>
          </cell>
          <cell r="D85" t="str">
            <v>大瀬　文江</v>
          </cell>
          <cell r="E85" t="str">
            <v>東横フェスタ2　契約保留</v>
          </cell>
        </row>
        <row r="85">
          <cell r="L85">
            <v>2</v>
          </cell>
          <cell r="M85">
            <v>2</v>
          </cell>
        </row>
        <row r="85">
          <cell r="T85" t="str">
            <v>15:00～20:00</v>
          </cell>
        </row>
        <row r="85">
          <cell r="AA85">
            <v>5</v>
          </cell>
        </row>
        <row r="85">
          <cell r="AH85">
            <v>1225</v>
          </cell>
        </row>
        <row r="85">
          <cell r="AM85" t="str">
            <v>甲</v>
          </cell>
        </row>
        <row r="85">
          <cell r="AO85">
            <v>45754</v>
          </cell>
          <cell r="AP85" t="str">
            <v>0年11ヶ月</v>
          </cell>
          <cell r="AQ85">
            <v>22748</v>
          </cell>
          <cell r="AR85">
            <v>63</v>
          </cell>
          <cell r="AS85" t="str">
            <v>横浜市泉区上飯田町２６７０番地いちょう団地１７－３０３</v>
          </cell>
          <cell r="AT85" t="str">
            <v>横浜市泉区</v>
          </cell>
          <cell r="AU85" t="str">
            <v>上飯田町２６７０番地いちょう団地１７－３０３</v>
          </cell>
          <cell r="AV85" t="str">
            <v>245-0018</v>
          </cell>
        </row>
        <row r="86">
          <cell r="B86">
            <v>83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CP64"/>
  <sheetViews>
    <sheetView showZeros="0" tabSelected="1" view="pageBreakPreview" zoomScale="60" zoomScaleNormal="100" workbookViewId="0">
      <selection activeCell="BZ2" sqref="BZ2:CG2"/>
    </sheetView>
  </sheetViews>
  <sheetFormatPr defaultColWidth="2.29090909090909" defaultRowHeight="19.8" customHeight="1"/>
  <cols>
    <col min="1" max="1" width="2.83636363636364" style="1" customWidth="1"/>
    <col min="2" max="2" width="9.38181818181818" style="1" customWidth="1"/>
    <col min="3" max="3" width="2.61818181818182" style="1" customWidth="1"/>
    <col min="4" max="4" width="2.83636363636364" style="1" customWidth="1"/>
    <col min="5" max="7" width="2.29090909090909" style="1"/>
    <col min="8" max="8" width="2.83636363636364" style="1" customWidth="1"/>
    <col min="9" max="9" width="2.4" style="1" customWidth="1"/>
    <col min="10" max="15" width="2.29090909090909" style="1"/>
    <col min="16" max="16" width="2.4" style="1" customWidth="1"/>
    <col min="17" max="17" width="2.29090909090909" style="1"/>
    <col min="18" max="18" width="2.50909090909091" style="1" customWidth="1"/>
    <col min="19" max="19" width="2.83636363636364" style="1" customWidth="1"/>
    <col min="20" max="20" width="2.29090909090909" style="1"/>
    <col min="21" max="26" width="2.83636363636364" style="1" customWidth="1"/>
    <col min="27" max="27" width="2.72727272727273" style="1" customWidth="1"/>
    <col min="28" max="34" width="2.83636363636364" style="1" customWidth="1"/>
    <col min="35" max="38" width="2.29090909090909" style="1"/>
    <col min="39" max="39" width="10.1454545454545" style="1" customWidth="1"/>
    <col min="40" max="16384" width="2.29090909090909" style="1"/>
  </cols>
  <sheetData>
    <row r="1" customHeight="1" spans="11:40">
      <c r="K1" s="3" t="s">
        <v>0</v>
      </c>
      <c r="AM1" s="1" t="s">
        <v>1</v>
      </c>
      <c r="AN1" s="1" t="s">
        <v>2</v>
      </c>
    </row>
    <row r="2" customHeight="1" spans="40:94">
      <c r="AN2" s="1" t="s">
        <v>3</v>
      </c>
      <c r="BZ2" s="20">
        <v>46054</v>
      </c>
      <c r="CA2" s="21"/>
      <c r="CB2" s="21"/>
      <c r="CC2" s="21"/>
      <c r="CD2" s="21"/>
      <c r="CE2" s="21"/>
      <c r="CF2" s="21"/>
      <c r="CG2" s="22"/>
      <c r="CI2" s="23" t="s">
        <v>4</v>
      </c>
      <c r="CJ2" s="24"/>
      <c r="CK2" s="24"/>
      <c r="CL2" s="24"/>
      <c r="CM2" s="24"/>
      <c r="CN2" s="24"/>
      <c r="CO2" s="24"/>
      <c r="CP2" s="25"/>
    </row>
    <row r="4" customHeight="1" spans="2:56">
      <c r="B4" s="1" t="s">
        <v>5</v>
      </c>
      <c r="P4" s="1" t="str">
        <f>IFERROR(VLOOKUP($CI$2,[1]清掃パート勤務形態一覧!$A$2:$BZ$200,4,FALSE),"")</f>
        <v>清水　恭子</v>
      </c>
      <c r="Y4" s="1" t="s">
        <v>6</v>
      </c>
      <c r="AM4" s="1" t="s">
        <v>7</v>
      </c>
      <c r="AN4" s="1" t="s">
        <v>8</v>
      </c>
      <c r="AT4" s="14">
        <f>BZ2</f>
        <v>46054</v>
      </c>
      <c r="AU4" s="14"/>
      <c r="AV4" s="14"/>
      <c r="AW4" s="14"/>
      <c r="AX4" s="14"/>
      <c r="AY4" s="14"/>
      <c r="AZ4" s="14"/>
      <c r="BA4" s="14"/>
      <c r="BB4" s="14"/>
      <c r="BC4" s="14"/>
      <c r="BD4" s="1" t="s">
        <v>9</v>
      </c>
    </row>
    <row r="5" customHeight="1" spans="2:40">
      <c r="B5" s="1" t="s">
        <v>10</v>
      </c>
      <c r="AN5" s="12" t="s">
        <v>11</v>
      </c>
    </row>
    <row r="6" customHeight="1" spans="39:39">
      <c r="AM6" s="12"/>
    </row>
    <row r="7" customHeight="1" spans="2:40">
      <c r="B7" s="1" t="s">
        <v>12</v>
      </c>
      <c r="C7" s="1" t="s">
        <v>13</v>
      </c>
      <c r="AM7" s="12" t="s">
        <v>14</v>
      </c>
      <c r="AN7" s="1" t="s">
        <v>15</v>
      </c>
    </row>
    <row r="8" customHeight="1" spans="3:40">
      <c r="C8" s="1" t="s">
        <v>16</v>
      </c>
      <c r="AN8" s="12" t="s">
        <v>17</v>
      </c>
    </row>
    <row r="9" customHeight="1" spans="39:39">
      <c r="AM9" s="12"/>
    </row>
    <row r="10" customHeight="1" spans="3:40">
      <c r="C10" s="1" t="s">
        <v>18</v>
      </c>
      <c r="H10" s="2" t="s">
        <v>19</v>
      </c>
      <c r="I10" s="4" t="str">
        <f>IFERROR(VLOOKUP($CI$2,[1]清掃パート勤務形態一覧!$A$2:$BZ$200,5,FALSE),"")</f>
        <v>東戸塚NSビル2</v>
      </c>
      <c r="J10" s="4"/>
      <c r="K10" s="4"/>
      <c r="L10" s="4"/>
      <c r="M10" s="4"/>
      <c r="N10" s="4"/>
      <c r="O10" s="4"/>
      <c r="P10" s="4"/>
      <c r="Q10" s="4"/>
      <c r="R10" s="2" t="s">
        <v>20</v>
      </c>
      <c r="S10" s="4" t="str">
        <f>IFERROR(VLOOKUP($CI$2,[1]清掃パート勤務形態一覧!$A$2:$BZ$200,6,FALSE),"")</f>
        <v>アルス東戸塚</v>
      </c>
      <c r="T10" s="4"/>
      <c r="U10" s="4"/>
      <c r="V10" s="4"/>
      <c r="W10" s="4"/>
      <c r="X10" s="4"/>
      <c r="Y10" s="4"/>
      <c r="Z10" s="4"/>
      <c r="AA10" s="2" t="s">
        <v>21</v>
      </c>
      <c r="AB10" s="4" t="str">
        <f>IFERROR(VLOOKUP($CI$2,[1]清掃パート勤務形態一覧!$A$2:$BZ$200,7,FALSE),"")</f>
        <v>東横フェスタ3</v>
      </c>
      <c r="AC10" s="4"/>
      <c r="AD10" s="4"/>
      <c r="AE10" s="4"/>
      <c r="AF10" s="4"/>
      <c r="AG10" s="4"/>
      <c r="AH10" s="4"/>
      <c r="AM10" s="13"/>
      <c r="AN10" s="1" t="s">
        <v>22</v>
      </c>
    </row>
    <row r="11" customHeight="1" spans="8:40">
      <c r="H11" s="2" t="s">
        <v>23</v>
      </c>
      <c r="I11" s="4" t="str">
        <f>IFERROR(VLOOKUP($CI$2,[1]清掃パート勤務形態一覧!$A$2:$BZ$200,8,FALSE),"")</f>
        <v>シュバルツ</v>
      </c>
      <c r="J11" s="4"/>
      <c r="K11" s="4"/>
      <c r="L11" s="4"/>
      <c r="M11" s="4"/>
      <c r="N11" s="4"/>
      <c r="O11" s="4"/>
      <c r="P11" s="4"/>
      <c r="Q11" s="4"/>
      <c r="R11" s="2" t="s">
        <v>24</v>
      </c>
      <c r="S11" s="4" t="str">
        <f>IFERROR(VLOOKUP($CI$2,[1]清掃パート勤務形態一覧!$A$2:$BZ$200,9,FALSE),"")</f>
        <v>ヴェール</v>
      </c>
      <c r="T11" s="4"/>
      <c r="U11" s="4"/>
      <c r="V11" s="4"/>
      <c r="W11" s="4"/>
      <c r="X11" s="4"/>
      <c r="Y11" s="4"/>
      <c r="Z11" s="4"/>
      <c r="AA11" s="2" t="s">
        <v>25</v>
      </c>
      <c r="AB11" s="4" t="str">
        <f>IFERROR(VLOOKUP($CI$2,[1]清掃パート勤務形態一覧!$A$2:$BZ$200,10,FALSE),"")</f>
        <v>アロマバワリー</v>
      </c>
      <c r="AC11" s="4"/>
      <c r="AD11" s="4"/>
      <c r="AE11" s="4"/>
      <c r="AF11" s="4"/>
      <c r="AG11" s="4"/>
      <c r="AH11" s="4"/>
      <c r="AN11" s="12" t="s">
        <v>26</v>
      </c>
    </row>
    <row r="12" customHeight="1" spans="8:40">
      <c r="H12" s="2" t="s">
        <v>27</v>
      </c>
      <c r="I12" s="4">
        <f>IFERROR(VLOOKUP($CI$2,[1]清掃パート勤務形態一覧!$A$2:$BZ$200,11,FALSE),"")</f>
        <v>0</v>
      </c>
      <c r="J12" s="4"/>
      <c r="K12" s="4"/>
      <c r="L12" s="4"/>
      <c r="M12" s="4"/>
      <c r="N12" s="4"/>
      <c r="O12" s="4"/>
      <c r="P12" s="4"/>
      <c r="Q12" s="4"/>
      <c r="R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N12" s="12" t="s">
        <v>28</v>
      </c>
    </row>
    <row r="13" customHeight="1" spans="8:40">
      <c r="H13" s="1" t="s">
        <v>29</v>
      </c>
      <c r="AN13" s="12" t="s">
        <v>30</v>
      </c>
    </row>
    <row r="14" customHeight="1" spans="3:39">
      <c r="C14" s="1" t="s">
        <v>31</v>
      </c>
      <c r="I14" s="1" t="s">
        <v>32</v>
      </c>
      <c r="AM14" s="12"/>
    </row>
    <row r="15" customHeight="1" spans="2:39">
      <c r="B15" s="1" t="s">
        <v>33</v>
      </c>
      <c r="H15" s="1" t="s">
        <v>34</v>
      </c>
      <c r="AM15" s="12" t="s">
        <v>35</v>
      </c>
    </row>
    <row r="16" customHeight="1" spans="39:39">
      <c r="AM16" s="12" t="s">
        <v>36</v>
      </c>
    </row>
    <row r="17" customHeight="1" spans="2:39">
      <c r="B17" s="1" t="s">
        <v>37</v>
      </c>
      <c r="C17" s="1" t="s">
        <v>38</v>
      </c>
      <c r="W17" s="8" t="s">
        <v>39</v>
      </c>
      <c r="X17" s="9"/>
      <c r="Y17" s="9" t="s">
        <v>40</v>
      </c>
      <c r="Z17" s="9"/>
      <c r="AA17" s="1">
        <f>IFERROR(VLOOKUP($CI$2,[1]清掃パート勤務形態一覧!$A$2:$BZ$200,12,FALSE),"")</f>
        <v>6</v>
      </c>
      <c r="AB17" s="9" t="s">
        <v>41</v>
      </c>
      <c r="AM17" s="12"/>
    </row>
    <row r="18" customHeight="1" spans="6:39">
      <c r="F18" s="1" t="s">
        <v>42</v>
      </c>
      <c r="I18" s="1" t="str">
        <f>IFERROR(VLOOKUP($CI$2,[1]清掃パート勤務形態一覧!$A$2:$BZ$200,20,FALSE),"")</f>
        <v>7:00～9:30</v>
      </c>
      <c r="J18" s="5"/>
      <c r="K18" s="5"/>
      <c r="L18" s="5"/>
      <c r="M18" s="5"/>
      <c r="N18" s="5"/>
      <c r="O18" s="5"/>
      <c r="P18" s="5"/>
      <c r="T18" s="9" t="s">
        <v>40</v>
      </c>
      <c r="V18" s="10">
        <f>IFERROR(VLOOKUP($CI$2,[1]清掃パート勤務形態一覧!$A$2:$BZ$200,13,FALSE),"")</f>
        <v>2</v>
      </c>
      <c r="W18" s="10"/>
      <c r="X18" s="9" t="s">
        <v>41</v>
      </c>
      <c r="AC18" s="9"/>
      <c r="AD18" s="8"/>
      <c r="AI18" s="9"/>
      <c r="AJ18" s="9"/>
      <c r="AK18" s="9"/>
      <c r="AL18" s="9"/>
      <c r="AM18" s="12" t="s">
        <v>43</v>
      </c>
    </row>
    <row r="19" customHeight="1" spans="6:39">
      <c r="F19" s="1" t="s">
        <v>20</v>
      </c>
      <c r="I19" s="1" t="str">
        <f>IFERROR(VLOOKUP($CI$2,[1]清掃パート勤務形態一覧!$A$2:$BZ$200,21,FALSE),"")</f>
        <v>9:30～10:30</v>
      </c>
      <c r="J19" s="5"/>
      <c r="K19" s="5"/>
      <c r="L19" s="5"/>
      <c r="M19" s="5"/>
      <c r="N19" s="5"/>
      <c r="O19" s="5"/>
      <c r="P19" s="5"/>
      <c r="T19" s="9" t="s">
        <v>40</v>
      </c>
      <c r="V19" s="10">
        <f>IFERROR(VLOOKUP($CI$2,[1]清掃パート勤務形態一覧!$A$2:$BZ$200,14,FALSE),"")</f>
        <v>1</v>
      </c>
      <c r="W19" s="10"/>
      <c r="X19" s="9" t="s">
        <v>41</v>
      </c>
      <c r="AC19" s="9"/>
      <c r="AD19" s="8"/>
      <c r="AI19" s="9"/>
      <c r="AJ19" s="9"/>
      <c r="AK19" s="9"/>
      <c r="AL19" s="9"/>
      <c r="AM19" s="12" t="s">
        <v>44</v>
      </c>
    </row>
    <row r="20" customHeight="1" spans="6:39">
      <c r="F20" s="1" t="s">
        <v>21</v>
      </c>
      <c r="I20" s="1" t="str">
        <f>IFERROR(VLOOKUP($CI$2,[1]清掃パート勤務形態一覧!$A$2:$BZ$200,22,FALSE),"")</f>
        <v>12:00～15:00</v>
      </c>
      <c r="K20" s="5"/>
      <c r="L20" s="5"/>
      <c r="M20" s="5"/>
      <c r="N20" s="5"/>
      <c r="O20" s="5"/>
      <c r="P20" s="5"/>
      <c r="T20" s="9" t="s">
        <v>40</v>
      </c>
      <c r="V20" s="10">
        <f>IFERROR(VLOOKUP($CI$2,[1]清掃パート勤務形態一覧!$A$2:$BZ$200,15,FALSE),"")</f>
        <v>3</v>
      </c>
      <c r="W20" s="10"/>
      <c r="X20" s="9" t="s">
        <v>41</v>
      </c>
      <c r="AC20" s="9"/>
      <c r="AD20" s="8"/>
      <c r="AI20" s="9"/>
      <c r="AJ20" s="9"/>
      <c r="AK20" s="9"/>
      <c r="AL20" s="9"/>
      <c r="AM20" s="12"/>
    </row>
    <row r="21" customHeight="1" spans="6:44">
      <c r="F21" s="1" t="s">
        <v>23</v>
      </c>
      <c r="I21" s="1" t="str">
        <f>IFERROR(VLOOKUP($CI$2,[1]清掃パート勤務形態一覧!$A$2:$BZ$200,23,FALSE),"")</f>
        <v>10:30～12:00</v>
      </c>
      <c r="J21" s="5"/>
      <c r="K21" s="5"/>
      <c r="L21" s="5"/>
      <c r="M21" s="5"/>
      <c r="N21" s="5"/>
      <c r="O21" s="5"/>
      <c r="P21" s="5"/>
      <c r="T21" s="9" t="s">
        <v>40</v>
      </c>
      <c r="V21" s="11">
        <f>IFERROR(VLOOKUP($CI$2,[1]清掃パート勤務形態一覧!$A$2:$BZ$200,16,FALSE),"")</f>
        <v>1</v>
      </c>
      <c r="W21" s="11"/>
      <c r="X21" s="9" t="s">
        <v>41</v>
      </c>
      <c r="AC21" s="9"/>
      <c r="AD21" s="8"/>
      <c r="AI21" s="9"/>
      <c r="AJ21" s="9"/>
      <c r="AK21" s="9"/>
      <c r="AL21" s="9"/>
      <c r="AM21" s="14">
        <f>BZ2</f>
        <v>46054</v>
      </c>
      <c r="AN21" s="14"/>
      <c r="AO21" s="14"/>
      <c r="AP21" s="14"/>
      <c r="AQ21" s="14"/>
      <c r="AR21" s="14"/>
    </row>
    <row r="22" customHeight="1" spans="6:39">
      <c r="F22" s="1" t="s">
        <v>24</v>
      </c>
      <c r="I22" s="1" t="str">
        <f>IFERROR(VLOOKUP($CI$2,[1]清掃パート勤務形態一覧!$A$2:$BZ$200,24,FALSE),"")</f>
        <v>10:30～11:30</v>
      </c>
      <c r="J22" s="5"/>
      <c r="K22" s="5"/>
      <c r="L22" s="5"/>
      <c r="M22" s="5"/>
      <c r="N22" s="5"/>
      <c r="O22" s="5"/>
      <c r="P22" s="5"/>
      <c r="T22" s="9" t="s">
        <v>40</v>
      </c>
      <c r="V22" s="10">
        <f>IFERROR(VLOOKUP($CI$2,[1]清掃パート勤務形態一覧!$A$2:$BZ$200,17,FALSE),"")</f>
        <v>3</v>
      </c>
      <c r="W22" s="10"/>
      <c r="X22" s="9" t="s">
        <v>41</v>
      </c>
      <c r="AC22" s="9"/>
      <c r="AD22" s="8"/>
      <c r="AI22" s="9"/>
      <c r="AJ22" s="9"/>
      <c r="AK22" s="9"/>
      <c r="AL22" s="9"/>
      <c r="AM22" s="12"/>
    </row>
    <row r="23" customHeight="1" spans="6:39">
      <c r="F23" s="1" t="s">
        <v>25</v>
      </c>
      <c r="I23" s="1" t="str">
        <f>IFERROR(VLOOKUP($CI$2,[1]清掃パート勤務形態一覧!$A$2:$BZ$200,25,FALSE),"")</f>
        <v>11:30～12:30</v>
      </c>
      <c r="J23" s="5"/>
      <c r="K23" s="5"/>
      <c r="L23" s="5"/>
      <c r="M23" s="5"/>
      <c r="N23" s="5"/>
      <c r="O23" s="5"/>
      <c r="P23" s="5"/>
      <c r="T23" s="9" t="s">
        <v>40</v>
      </c>
      <c r="V23" s="10">
        <f>IFERROR(VLOOKUP($CI$2,[1]清掃パート勤務形態一覧!$A$2:$BZ$200,18,FALSE),"")</f>
        <v>1</v>
      </c>
      <c r="W23" s="10"/>
      <c r="X23" s="9" t="s">
        <v>41</v>
      </c>
      <c r="AC23" s="9"/>
      <c r="AD23" s="8"/>
      <c r="AI23" s="9"/>
      <c r="AJ23" s="9"/>
      <c r="AK23" s="9"/>
      <c r="AL23" s="9"/>
      <c r="AM23" s="15"/>
    </row>
    <row r="24" customHeight="1" spans="6:44">
      <c r="F24" s="1" t="s">
        <v>27</v>
      </c>
      <c r="I24" s="1">
        <f>IFERROR(VLOOKUP($CI$2,[1]清掃パート勤務形態一覧!$A$2:$BZ$200,26,FALSE),"")</f>
        <v>0</v>
      </c>
      <c r="J24" s="5"/>
      <c r="K24" s="5"/>
      <c r="L24" s="5"/>
      <c r="M24" s="5"/>
      <c r="N24" s="5"/>
      <c r="O24" s="5"/>
      <c r="P24" s="5"/>
      <c r="T24" s="9" t="s">
        <v>40</v>
      </c>
      <c r="V24" s="10">
        <f>IFERROR(VLOOKUP($CI$2,[1]清掃パート勤務形態一覧!$A$2:$BZ$200,19,FALSE),"")</f>
        <v>0</v>
      </c>
      <c r="W24" s="10"/>
      <c r="X24" s="9" t="s">
        <v>41</v>
      </c>
      <c r="AC24" s="9"/>
      <c r="AD24" s="8"/>
      <c r="AI24" s="9"/>
      <c r="AJ24" s="9"/>
      <c r="AK24" s="9"/>
      <c r="AL24" s="9"/>
      <c r="AN24" s="16" t="s">
        <v>45</v>
      </c>
      <c r="AR24" s="3" t="s">
        <v>46</v>
      </c>
    </row>
    <row r="25" customHeight="1" spans="39:44">
      <c r="AM25" s="12"/>
      <c r="AR25" s="18" t="s">
        <v>47</v>
      </c>
    </row>
    <row r="26" customHeight="1" spans="4:44">
      <c r="D26" s="1" t="s">
        <v>48</v>
      </c>
      <c r="AM26" s="12"/>
      <c r="AR26" s="19" t="s">
        <v>49</v>
      </c>
    </row>
    <row r="27" customHeight="1" spans="4:39">
      <c r="D27" s="1" t="s">
        <v>50</v>
      </c>
      <c r="AM27" s="12"/>
    </row>
    <row r="28" customHeight="1" spans="4:39">
      <c r="D28" s="1" t="s">
        <v>51</v>
      </c>
      <c r="AM28" s="12"/>
    </row>
    <row r="29" customHeight="1" spans="40:44">
      <c r="AN29" s="16" t="s">
        <v>52</v>
      </c>
      <c r="AR29" s="1" t="str">
        <f>IFERROR(VLOOKUP($CI$2,[1]清掃パート勤務形態一覧!$A$2:$BZ$200,46,FALSE),"")</f>
        <v>横浜市戸塚区</v>
      </c>
    </row>
    <row r="30" customHeight="1" spans="2:44">
      <c r="B30" s="1" t="s">
        <v>53</v>
      </c>
      <c r="C30" s="1" t="s">
        <v>54</v>
      </c>
      <c r="K30" s="1" t="s">
        <v>55</v>
      </c>
      <c r="P30" s="6">
        <f>IFERROR(VLOOKUP($CI$2,[1]清掃パート勤務形態一覧!$A$2:$BZ$200,34,FALSE),"")</f>
        <v>1225</v>
      </c>
      <c r="Q30" s="6"/>
      <c r="R30" s="6"/>
      <c r="S30" s="6"/>
      <c r="T30" s="6"/>
      <c r="U30" s="6"/>
      <c r="V30" s="1" t="s">
        <v>56</v>
      </c>
      <c r="AM30" s="17"/>
      <c r="AR30" s="1" t="str">
        <f>IFERROR(VLOOKUP($CI$2,[1]清掃パート勤務形態一覧!$A$2:$BZ$200,47,FALSE),"")</f>
        <v>矢部町６００番地２</v>
      </c>
    </row>
    <row r="31" customHeight="1" spans="15:39">
      <c r="O31" s="7" t="s">
        <v>25</v>
      </c>
      <c r="P31" s="6">
        <f>IFERROR(VLOOKUP($CI$2,[1]清掃パート勤務形態一覧!$A$2:$BZ$200,35,FALSE),"")</f>
        <v>1300</v>
      </c>
      <c r="Q31" s="6"/>
      <c r="R31" s="6"/>
      <c r="S31" s="6"/>
      <c r="T31" s="6"/>
      <c r="U31" s="6"/>
      <c r="V31" s="1" t="s">
        <v>56</v>
      </c>
      <c r="AM31" s="12"/>
    </row>
    <row r="32" customHeight="1" spans="3:44">
      <c r="C32" s="1">
        <f>IFERROR(VLOOKUP($CI$2,[1]清掃パート勤務形態一覧!$A$2:$BZ$200,54,FALSE),"")</f>
        <v>0</v>
      </c>
      <c r="P32" s="6">
        <f>IFERROR(VLOOKUP($CI$2,[1]清掃パート勤務形態一覧!$A$2:$BZ$200,38,FALSE),"")</f>
        <v>0</v>
      </c>
      <c r="Q32" s="6"/>
      <c r="R32" s="6"/>
      <c r="S32" s="6"/>
      <c r="T32" s="6"/>
      <c r="U32" s="6"/>
      <c r="V32" s="1">
        <f>IFERROR(VLOOKUP($CI$2,[1]清掃パート勤務形態一覧!$A$2:$BZ$200,55,FALSE),"")</f>
        <v>0</v>
      </c>
      <c r="AM32" s="12"/>
      <c r="AR32" s="1" t="str">
        <f>IFERROR(VLOOKUP($CI$2,[1]清掃パート勤務形態一覧!$A$2:$BZ$200,4,FALSE),"")</f>
        <v>清水　恭子</v>
      </c>
    </row>
    <row r="33" customHeight="1" spans="3:3">
      <c r="C33" s="1" t="s">
        <v>57</v>
      </c>
    </row>
    <row r="35" customHeight="1" spans="2:3">
      <c r="B35" s="1" t="s">
        <v>58</v>
      </c>
      <c r="C35" s="1" t="s">
        <v>59</v>
      </c>
    </row>
    <row r="36" customHeight="1" spans="3:3">
      <c r="C36" s="1" t="s">
        <v>60</v>
      </c>
    </row>
    <row r="37" customHeight="1" spans="3:3">
      <c r="C37" s="1" t="s">
        <v>61</v>
      </c>
    </row>
    <row r="63" ht="25.2" customHeight="1"/>
    <row r="64" ht="25.2" customHeight="1"/>
  </sheetData>
  <mergeCells count="20">
    <mergeCell ref="BZ2:CG2"/>
    <mergeCell ref="AT4:BC4"/>
    <mergeCell ref="I10:Q10"/>
    <mergeCell ref="S10:Z10"/>
    <mergeCell ref="AB10:AH10"/>
    <mergeCell ref="I11:Q11"/>
    <mergeCell ref="S11:Z11"/>
    <mergeCell ref="AB11:AH11"/>
    <mergeCell ref="I12:Q12"/>
    <mergeCell ref="V18:W18"/>
    <mergeCell ref="V19:W19"/>
    <mergeCell ref="V20:W20"/>
    <mergeCell ref="V21:W21"/>
    <mergeCell ref="AM21:AR21"/>
    <mergeCell ref="V22:W22"/>
    <mergeCell ref="V23:W23"/>
    <mergeCell ref="V24:W24"/>
    <mergeCell ref="P30:U30"/>
    <mergeCell ref="P31:U31"/>
    <mergeCell ref="P32:U32"/>
  </mergeCells>
  <pageMargins left="0.23" right="0.16" top="0.36" bottom="0.36" header="0.3" footer="0.3"/>
  <pageSetup paperSize="9" scale="73" orientation="landscape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77</xdr:col>
                    <xdr:colOff>53340</xdr:colOff>
                    <xdr:row>3</xdr:row>
                    <xdr:rowOff>30480</xdr:rowOff>
                  </from>
                  <to>
                    <xdr:col>84</xdr:col>
                    <xdr:colOff>91440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77</xdr:col>
                    <xdr:colOff>144780</xdr:colOff>
                    <xdr:row>6</xdr:row>
                    <xdr:rowOff>190500</xdr:rowOff>
                  </from>
                  <to>
                    <xdr:col>84</xdr:col>
                    <xdr:colOff>137160</xdr:colOff>
                    <xdr:row>8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契約書 複数担当(鈴木)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2026-03-11T17:17:00Z</dcterms:created>
  <dcterms:modified xsi:type="dcterms:W3CDTF">2026-03-21T07:25:49Z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</Properties>
</file>